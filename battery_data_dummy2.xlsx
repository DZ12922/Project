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drawings/drawing3.xml" ContentType="application/vnd.openxmlformats-officedocument.drawing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drawings/drawing4.xml" ContentType="application/vnd.openxmlformats-officedocument.drawing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eudi\Downloads\"/>
    </mc:Choice>
  </mc:AlternateContent>
  <xr:revisionPtr revIDLastSave="0" documentId="13_ncr:1_{0E7E768F-FC2E-44E6-A141-35362794712F}" xr6:coauthVersionLast="47" xr6:coauthVersionMax="47" xr10:uidLastSave="{00000000-0000-0000-0000-000000000000}"/>
  <bookViews>
    <workbookView xWindow="-96" yWindow="0" windowWidth="11712" windowHeight="12336" firstSheet="3" activeTab="3" xr2:uid="{00000000-000D-0000-FFFF-FFFF00000000}"/>
  </bookViews>
  <sheets>
    <sheet name="Main Data" sheetId="1" r:id="rId1"/>
    <sheet name="IF" sheetId="2" r:id="rId2"/>
    <sheet name="SUM &amp; AVERAGE" sheetId="3" r:id="rId3"/>
    <sheet name="X,VLOOK UP" sheetId="5" r:id="rId4"/>
    <sheet name="FILTER,INDEX &amp; MATCH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11" i="5" l="1" a="1"/>
  <c r="Q11" i="5" s="1"/>
  <c r="Q12" i="5" a="1"/>
  <c r="Q12" i="5" s="1"/>
  <c r="Q13" i="5" a="1"/>
  <c r="Q13" i="5" s="1"/>
  <c r="Q14" i="5" a="1"/>
  <c r="Q14" i="5" s="1"/>
  <c r="Q15" i="5" a="1"/>
  <c r="Q15" i="5" s="1"/>
  <c r="Q16" i="5" a="1"/>
  <c r="Q16" i="5" s="1"/>
  <c r="Q17" i="5" a="1"/>
  <c r="Q17" i="5" s="1"/>
  <c r="Q18" i="5" a="1"/>
  <c r="Q18" i="5" s="1"/>
  <c r="Q10" i="5" a="1"/>
  <c r="Q10" i="5" s="1"/>
  <c r="B14" i="4"/>
  <c r="B15" i="4"/>
  <c r="B16" i="4"/>
  <c r="B17" i="4"/>
  <c r="B13" i="4"/>
  <c r="D2" i="4" a="1"/>
  <c r="D2" i="4" s="1"/>
  <c r="D4" i="4" a="1"/>
  <c r="D4" i="4" s="1"/>
  <c r="D5" i="4" a="1"/>
  <c r="D5" i="4" s="1"/>
  <c r="D6" i="4" a="1"/>
  <c r="D6" i="4" s="1"/>
  <c r="D7" i="4" a="1"/>
  <c r="D7" i="4" s="1"/>
  <c r="D8" i="4" a="1"/>
  <c r="D8" i="4" s="1"/>
  <c r="D9" i="4" a="1"/>
  <c r="D9" i="4" s="1"/>
  <c r="D10" i="4" a="1"/>
  <c r="D10" i="4" s="1"/>
  <c r="D3" i="4" a="1"/>
  <c r="D3" i="4" s="1"/>
  <c r="O3" i="5"/>
  <c r="P3" i="5"/>
  <c r="O4" i="5"/>
  <c r="P4" i="5"/>
  <c r="O5" i="5"/>
  <c r="P5" i="5"/>
  <c r="O6" i="5"/>
  <c r="P6" i="5"/>
  <c r="P2" i="5"/>
  <c r="O2" i="5"/>
  <c r="B7" i="5" a="1"/>
  <c r="B7" i="5" s="1"/>
  <c r="C7" i="5" s="1" a="1"/>
  <c r="C7" i="5" s="1"/>
  <c r="B3" i="5" a="1"/>
  <c r="B3" i="5" s="1"/>
  <c r="C3" i="5" s="1" a="1"/>
  <c r="C3" i="5" s="1"/>
  <c r="B4" i="5" a="1"/>
  <c r="B4" i="5" s="1"/>
  <c r="C4" i="5" s="1" a="1"/>
  <c r="C4" i="5" s="1"/>
  <c r="B5" i="5" a="1"/>
  <c r="B5" i="5" s="1"/>
  <c r="C5" i="5" s="1" a="1"/>
  <c r="C5" i="5" s="1"/>
  <c r="B6" i="5" a="1"/>
  <c r="B6" i="5" s="1"/>
  <c r="C6" i="5" s="1" a="1"/>
  <c r="C6" i="5" s="1"/>
  <c r="B2" i="5" a="1"/>
  <c r="B2" i="5" s="1"/>
  <c r="C2" i="5" s="1" a="1"/>
  <c r="C2" i="5" s="1"/>
  <c r="A22" i="3"/>
  <c r="C12" i="3"/>
  <c r="C13" i="3"/>
  <c r="C14" i="3"/>
  <c r="B14" i="3"/>
  <c r="B12" i="3"/>
  <c r="B13" i="3"/>
  <c r="B2" i="3"/>
  <c r="D3" i="3"/>
  <c r="D4" i="3"/>
  <c r="D2" i="3"/>
  <c r="C3" i="3"/>
  <c r="C4" i="3"/>
  <c r="C2" i="3"/>
  <c r="B4" i="3"/>
  <c r="B3" i="3"/>
  <c r="I3" i="2" l="1" a="1"/>
  <c r="I3" i="2" s="1"/>
  <c r="I4" i="2" a="1"/>
  <c r="I4" i="2"/>
  <c r="I5" i="2" a="1"/>
  <c r="I5" i="2"/>
  <c r="I6" i="2" a="1"/>
  <c r="I6" i="2" s="1"/>
  <c r="I7" i="2" a="1"/>
  <c r="I7" i="2"/>
  <c r="I8" i="2" a="1"/>
  <c r="I8" i="2"/>
  <c r="I9" i="2" a="1"/>
  <c r="I9" i="2"/>
  <c r="I10" i="2" a="1"/>
  <c r="I10" i="2"/>
  <c r="I11" i="2" a="1"/>
  <c r="I11" i="2" s="1"/>
  <c r="I12" i="2" a="1"/>
  <c r="I12" i="2"/>
  <c r="I13" i="2" a="1"/>
  <c r="I13" i="2"/>
  <c r="I14" i="2" a="1"/>
  <c r="I14" i="2" s="1"/>
  <c r="I15" i="2" a="1"/>
  <c r="I15" i="2"/>
  <c r="I16" i="2" a="1"/>
  <c r="I16" i="2"/>
  <c r="I17" i="2" a="1"/>
  <c r="I17" i="2"/>
  <c r="I18" i="2" a="1"/>
  <c r="I18" i="2"/>
  <c r="I19" i="2" a="1"/>
  <c r="I19" i="2" s="1"/>
  <c r="I20" i="2" a="1"/>
  <c r="I20" i="2"/>
  <c r="I21" i="2" a="1"/>
  <c r="I21" i="2"/>
  <c r="I22" i="2" a="1"/>
  <c r="I22" i="2" s="1"/>
  <c r="I23" i="2" a="1"/>
  <c r="I23" i="2"/>
  <c r="I24" i="2" a="1"/>
  <c r="I24" i="2"/>
  <c r="I25" i="2" a="1"/>
  <c r="I25" i="2"/>
  <c r="I26" i="2" a="1"/>
  <c r="I26" i="2"/>
  <c r="I27" i="2" a="1"/>
  <c r="I27" i="2" s="1"/>
  <c r="I28" i="2" a="1"/>
  <c r="I28" i="2"/>
  <c r="I29" i="2" a="1"/>
  <c r="I29" i="2"/>
  <c r="I30" i="2" a="1"/>
  <c r="I30" i="2" s="1"/>
  <c r="I31" i="2" a="1"/>
  <c r="I31" i="2"/>
  <c r="I32" i="2" a="1"/>
  <c r="I32" i="2"/>
  <c r="I33" i="2" a="1"/>
  <c r="I33" i="2"/>
  <c r="I34" i="2" a="1"/>
  <c r="I34" i="2"/>
  <c r="I35" i="2" a="1"/>
  <c r="I35" i="2" s="1"/>
  <c r="I36" i="2" a="1"/>
  <c r="I36" i="2"/>
  <c r="I37" i="2" a="1"/>
  <c r="I37" i="2"/>
  <c r="I38" i="2" a="1"/>
  <c r="I38" i="2" s="1"/>
  <c r="I39" i="2" a="1"/>
  <c r="I39" i="2"/>
  <c r="I40" i="2" a="1"/>
  <c r="I40" i="2"/>
  <c r="I41" i="2" a="1"/>
  <c r="I41" i="2"/>
  <c r="I42" i="2" a="1"/>
  <c r="I42" i="2"/>
  <c r="I43" i="2" a="1"/>
  <c r="I43" i="2" s="1"/>
  <c r="I44" i="2" a="1"/>
  <c r="I44" i="2"/>
  <c r="I45" i="2" a="1"/>
  <c r="I45" i="2"/>
  <c r="I46" i="2" a="1"/>
  <c r="I46" i="2" s="1"/>
  <c r="I47" i="2" a="1"/>
  <c r="I47" i="2"/>
  <c r="I48" i="2" a="1"/>
  <c r="I48" i="2"/>
  <c r="I49" i="2" a="1"/>
  <c r="I49" i="2"/>
  <c r="I50" i="2" a="1"/>
  <c r="I50" i="2"/>
  <c r="I51" i="2" a="1"/>
  <c r="I51" i="2" s="1"/>
  <c r="I52" i="2" a="1"/>
  <c r="I52" i="2"/>
  <c r="I53" i="2" a="1"/>
  <c r="I53" i="2"/>
  <c r="I54" i="2" a="1"/>
  <c r="I54" i="2" s="1"/>
  <c r="I55" i="2" a="1"/>
  <c r="I55" i="2"/>
  <c r="I56" i="2" a="1"/>
  <c r="I56" i="2"/>
  <c r="I57" i="2" a="1"/>
  <c r="I57" i="2"/>
  <c r="I58" i="2" a="1"/>
  <c r="I58" i="2"/>
  <c r="I59" i="2" a="1"/>
  <c r="I59" i="2" s="1"/>
  <c r="I60" i="2" a="1"/>
  <c r="I60" i="2"/>
  <c r="I61" i="2" a="1"/>
  <c r="I61" i="2"/>
  <c r="I62" i="2" a="1"/>
  <c r="I62" i="2" s="1"/>
  <c r="I63" i="2" a="1"/>
  <c r="I63" i="2"/>
  <c r="I64" i="2" a="1"/>
  <c r="I64" i="2"/>
  <c r="I65" i="2" a="1"/>
  <c r="I65" i="2"/>
  <c r="I66" i="2" a="1"/>
  <c r="I66" i="2"/>
  <c r="I67" i="2" a="1"/>
  <c r="I67" i="2" s="1"/>
  <c r="I68" i="2" a="1"/>
  <c r="I68" i="2"/>
  <c r="I69" i="2" a="1"/>
  <c r="I69" i="2"/>
  <c r="I70" i="2" a="1"/>
  <c r="I70" i="2" s="1"/>
  <c r="I71" i="2" a="1"/>
  <c r="I71" i="2"/>
  <c r="I72" i="2" a="1"/>
  <c r="I72" i="2"/>
  <c r="I73" i="2" a="1"/>
  <c r="I73" i="2"/>
  <c r="I74" i="2" a="1"/>
  <c r="I74" i="2"/>
  <c r="I75" i="2" a="1"/>
  <c r="I75" i="2" s="1"/>
  <c r="I76" i="2" a="1"/>
  <c r="I76" i="2"/>
  <c r="I77" i="2" a="1"/>
  <c r="I77" i="2"/>
  <c r="I78" i="2" a="1"/>
  <c r="I78" i="2" s="1"/>
  <c r="I79" i="2" a="1"/>
  <c r="I79" i="2"/>
  <c r="I80" i="2" a="1"/>
  <c r="I80" i="2"/>
  <c r="I81" i="2" a="1"/>
  <c r="I81" i="2"/>
  <c r="I82" i="2" a="1"/>
  <c r="I82" i="2"/>
  <c r="I83" i="2" a="1"/>
  <c r="I83" i="2" s="1"/>
  <c r="I84" i="2" a="1"/>
  <c r="I84" i="2"/>
  <c r="I85" i="2" a="1"/>
  <c r="I85" i="2"/>
  <c r="I86" i="2" a="1"/>
  <c r="I86" i="2" s="1"/>
  <c r="I87" i="2" a="1"/>
  <c r="I87" i="2"/>
  <c r="I88" i="2" a="1"/>
  <c r="I88" i="2"/>
  <c r="I89" i="2" a="1"/>
  <c r="I89" i="2"/>
  <c r="I90" i="2" a="1"/>
  <c r="I90" i="2"/>
  <c r="I91" i="2" a="1"/>
  <c r="I91" i="2" s="1"/>
  <c r="I92" i="2" a="1"/>
  <c r="I92" i="2"/>
  <c r="I93" i="2" a="1"/>
  <c r="I93" i="2"/>
  <c r="I94" i="2" a="1"/>
  <c r="I94" i="2" s="1"/>
  <c r="I95" i="2" a="1"/>
  <c r="I95" i="2"/>
  <c r="I96" i="2" a="1"/>
  <c r="I96" i="2"/>
  <c r="I97" i="2" a="1"/>
  <c r="I97" i="2"/>
  <c r="I98" i="2" a="1"/>
  <c r="I98" i="2"/>
  <c r="I99" i="2" a="1"/>
  <c r="I99" i="2" s="1"/>
  <c r="I100" i="2" a="1"/>
  <c r="I100" i="2"/>
  <c r="I101" i="2" a="1"/>
  <c r="I101" i="2"/>
  <c r="I102" i="2" a="1"/>
  <c r="I102" i="2" s="1"/>
  <c r="I103" i="2" a="1"/>
  <c r="I103" i="2"/>
  <c r="I104" i="2" a="1"/>
  <c r="I104" i="2"/>
  <c r="I105" i="2" a="1"/>
  <c r="I105" i="2"/>
  <c r="I106" i="2" a="1"/>
  <c r="I106" i="2"/>
  <c r="I107" i="2" a="1"/>
  <c r="I107" i="2" s="1"/>
  <c r="I108" i="2" a="1"/>
  <c r="I108" i="2"/>
  <c r="I109" i="2" a="1"/>
  <c r="I109" i="2"/>
  <c r="I110" i="2" a="1"/>
  <c r="I110" i="2" s="1"/>
  <c r="I111" i="2" a="1"/>
  <c r="I111" i="2"/>
  <c r="I112" i="2" a="1"/>
  <c r="I112" i="2"/>
  <c r="I113" i="2" a="1"/>
  <c r="I113" i="2"/>
  <c r="I114" i="2" a="1"/>
  <c r="I114" i="2"/>
  <c r="I115" i="2" a="1"/>
  <c r="I115" i="2" s="1"/>
  <c r="I116" i="2" a="1"/>
  <c r="I116" i="2"/>
  <c r="I117" i="2" a="1"/>
  <c r="I117" i="2"/>
  <c r="I118" i="2" a="1"/>
  <c r="I118" i="2" s="1"/>
  <c r="I119" i="2" a="1"/>
  <c r="I119" i="2"/>
  <c r="I120" i="2" a="1"/>
  <c r="I120" i="2"/>
  <c r="I121" i="2" a="1"/>
  <c r="I121" i="2"/>
  <c r="I122" i="2" a="1"/>
  <c r="I122" i="2"/>
  <c r="I123" i="2" a="1"/>
  <c r="I123" i="2" s="1"/>
  <c r="I124" i="2" a="1"/>
  <c r="I124" i="2"/>
  <c r="I125" i="2" a="1"/>
  <c r="I125" i="2"/>
  <c r="I126" i="2" a="1"/>
  <c r="I126" i="2" s="1"/>
  <c r="I127" i="2" a="1"/>
  <c r="I127" i="2"/>
  <c r="I128" i="2" a="1"/>
  <c r="I128" i="2"/>
  <c r="I129" i="2" a="1"/>
  <c r="I129" i="2"/>
  <c r="I130" i="2" a="1"/>
  <c r="I130" i="2"/>
  <c r="I131" i="2" a="1"/>
  <c r="I131" i="2" s="1"/>
  <c r="I132" i="2" a="1"/>
  <c r="I132" i="2"/>
  <c r="I133" i="2" a="1"/>
  <c r="I133" i="2"/>
  <c r="I134" i="2" a="1"/>
  <c r="I134" i="2" s="1"/>
  <c r="I135" i="2" a="1"/>
  <c r="I135" i="2"/>
  <c r="I136" i="2" a="1"/>
  <c r="I136" i="2"/>
  <c r="I137" i="2" a="1"/>
  <c r="I137" i="2"/>
  <c r="I138" i="2" a="1"/>
  <c r="I138" i="2"/>
  <c r="I139" i="2" a="1"/>
  <c r="I139" i="2" s="1"/>
  <c r="I140" i="2" a="1"/>
  <c r="I140" i="2"/>
  <c r="I141" i="2" a="1"/>
  <c r="I141" i="2"/>
  <c r="I142" i="2" a="1"/>
  <c r="I142" i="2" s="1"/>
  <c r="I143" i="2" a="1"/>
  <c r="I143" i="2"/>
  <c r="I144" i="2" a="1"/>
  <c r="I144" i="2"/>
  <c r="I145" i="2" a="1"/>
  <c r="I145" i="2"/>
  <c r="I146" i="2" a="1"/>
  <c r="I146" i="2"/>
  <c r="I147" i="2" a="1"/>
  <c r="I147" i="2" s="1"/>
  <c r="I148" i="2" a="1"/>
  <c r="I148" i="2"/>
  <c r="I149" i="2" a="1"/>
  <c r="I149" i="2"/>
  <c r="I150" i="2" a="1"/>
  <c r="I150" i="2" s="1"/>
  <c r="I151" i="2" a="1"/>
  <c r="I151" i="2"/>
  <c r="I152" i="2" a="1"/>
  <c r="I152" i="2"/>
  <c r="I153" i="2" a="1"/>
  <c r="I153" i="2"/>
  <c r="I154" i="2" a="1"/>
  <c r="I154" i="2"/>
  <c r="I155" i="2" a="1"/>
  <c r="I155" i="2" s="1"/>
  <c r="I156" i="2" a="1"/>
  <c r="I156" i="2"/>
  <c r="I157" i="2" a="1"/>
  <c r="I157" i="2"/>
  <c r="I158" i="2" a="1"/>
  <c r="I158" i="2" s="1"/>
  <c r="I159" i="2" a="1"/>
  <c r="I159" i="2"/>
  <c r="I160" i="2" a="1"/>
  <c r="I160" i="2"/>
  <c r="I161" i="2" a="1"/>
  <c r="I161" i="2"/>
  <c r="I162" i="2" a="1"/>
  <c r="I162" i="2"/>
  <c r="I163" i="2" a="1"/>
  <c r="I163" i="2" s="1"/>
  <c r="I164" i="2" a="1"/>
  <c r="I164" i="2"/>
  <c r="I165" i="2" a="1"/>
  <c r="I165" i="2"/>
  <c r="I166" i="2" a="1"/>
  <c r="I166" i="2" s="1"/>
  <c r="I167" i="2" a="1"/>
  <c r="I167" i="2"/>
  <c r="I168" i="2" a="1"/>
  <c r="I168" i="2"/>
  <c r="I169" i="2" a="1"/>
  <c r="I169" i="2"/>
  <c r="I170" i="2" a="1"/>
  <c r="I170" i="2"/>
  <c r="I171" i="2" a="1"/>
  <c r="I171" i="2" s="1"/>
  <c r="I172" i="2" a="1"/>
  <c r="I172" i="2"/>
  <c r="I173" i="2" a="1"/>
  <c r="I173" i="2"/>
  <c r="I174" i="2" a="1"/>
  <c r="I174" i="2" s="1"/>
  <c r="I175" i="2" a="1"/>
  <c r="I175" i="2"/>
  <c r="I176" i="2" a="1"/>
  <c r="I176" i="2"/>
  <c r="I177" i="2" a="1"/>
  <c r="I177" i="2"/>
  <c r="I178" i="2" a="1"/>
  <c r="I178" i="2"/>
  <c r="I179" i="2" a="1"/>
  <c r="I179" i="2" s="1"/>
  <c r="I180" i="2" a="1"/>
  <c r="I180" i="2"/>
  <c r="I181" i="2" a="1"/>
  <c r="I181" i="2"/>
  <c r="I182" i="2" a="1"/>
  <c r="I182" i="2" s="1"/>
  <c r="I183" i="2" a="1"/>
  <c r="I183" i="2"/>
  <c r="I184" i="2" a="1"/>
  <c r="I184" i="2"/>
  <c r="I185" i="2" a="1"/>
  <c r="I185" i="2"/>
  <c r="I186" i="2" a="1"/>
  <c r="I186" i="2"/>
  <c r="I187" i="2" a="1"/>
  <c r="I187" i="2" s="1"/>
  <c r="I188" i="2" a="1"/>
  <c r="I188" i="2"/>
  <c r="I189" i="2" a="1"/>
  <c r="I189" i="2"/>
  <c r="I190" i="2" a="1"/>
  <c r="I190" i="2" s="1"/>
  <c r="I191" i="2" a="1"/>
  <c r="I191" i="2"/>
  <c r="I192" i="2" a="1"/>
  <c r="I192" i="2"/>
  <c r="I193" i="2" a="1"/>
  <c r="I193" i="2"/>
  <c r="I194" i="2" a="1"/>
  <c r="I194" i="2"/>
  <c r="I195" i="2" a="1"/>
  <c r="I195" i="2" s="1"/>
  <c r="I196" i="2" a="1"/>
  <c r="I196" i="2"/>
  <c r="I197" i="2" a="1"/>
  <c r="I197" i="2"/>
  <c r="I198" i="2" a="1"/>
  <c r="I198" i="2" s="1"/>
  <c r="I199" i="2" a="1"/>
  <c r="I199" i="2"/>
  <c r="I200" i="2" a="1"/>
  <c r="I200" i="2"/>
  <c r="I201" i="2" a="1"/>
  <c r="I201" i="2"/>
  <c r="I202" i="2" a="1"/>
  <c r="I202" i="2"/>
  <c r="I203" i="2" a="1"/>
  <c r="I203" i="2" s="1"/>
  <c r="I204" i="2" a="1"/>
  <c r="I204" i="2"/>
  <c r="I205" i="2" a="1"/>
  <c r="I205" i="2"/>
  <c r="I206" i="2" a="1"/>
  <c r="I206" i="2" s="1"/>
  <c r="I207" i="2" a="1"/>
  <c r="I207" i="2"/>
  <c r="I208" i="2" a="1"/>
  <c r="I208" i="2"/>
  <c r="I209" i="2" a="1"/>
  <c r="I209" i="2"/>
  <c r="I210" i="2" a="1"/>
  <c r="I210" i="2"/>
  <c r="I211" i="2" a="1"/>
  <c r="I211" i="2" s="1"/>
  <c r="I212" i="2" a="1"/>
  <c r="I212" i="2"/>
  <c r="I213" i="2" a="1"/>
  <c r="I213" i="2"/>
  <c r="I214" i="2" a="1"/>
  <c r="I214" i="2" s="1"/>
  <c r="I215" i="2" a="1"/>
  <c r="I215" i="2"/>
  <c r="I216" i="2" a="1"/>
  <c r="I216" i="2"/>
  <c r="I217" i="2" a="1"/>
  <c r="I217" i="2"/>
  <c r="I218" i="2" a="1"/>
  <c r="I218" i="2"/>
  <c r="I219" i="2" a="1"/>
  <c r="I219" i="2" s="1"/>
  <c r="I220" i="2" a="1"/>
  <c r="I220" i="2"/>
  <c r="I221" i="2" a="1"/>
  <c r="I221" i="2"/>
  <c r="I222" i="2" a="1"/>
  <c r="I222" i="2" s="1"/>
  <c r="I223" i="2" a="1"/>
  <c r="I223" i="2"/>
  <c r="I224" i="2" a="1"/>
  <c r="I224" i="2"/>
  <c r="I225" i="2" a="1"/>
  <c r="I225" i="2"/>
  <c r="I226" i="2" a="1"/>
  <c r="I226" i="2"/>
  <c r="I227" i="2" a="1"/>
  <c r="I227" i="2" s="1"/>
  <c r="I228" i="2" a="1"/>
  <c r="I228" i="2"/>
  <c r="I229" i="2" a="1"/>
  <c r="I229" i="2"/>
  <c r="I230" i="2" a="1"/>
  <c r="I230" i="2" s="1"/>
  <c r="I231" i="2" a="1"/>
  <c r="I231" i="2"/>
  <c r="I232" i="2" a="1"/>
  <c r="I232" i="2"/>
  <c r="I233" i="2" a="1"/>
  <c r="I233" i="2"/>
  <c r="I234" i="2" a="1"/>
  <c r="I234" i="2"/>
  <c r="I235" i="2" a="1"/>
  <c r="I235" i="2" s="1"/>
  <c r="I236" i="2" a="1"/>
  <c r="I236" i="2"/>
  <c r="I237" i="2" a="1"/>
  <c r="I237" i="2"/>
  <c r="I238" i="2" a="1"/>
  <c r="I238" i="2" s="1"/>
  <c r="I239" i="2" a="1"/>
  <c r="I239" i="2"/>
  <c r="I240" i="2" a="1"/>
  <c r="I240" i="2"/>
  <c r="I241" i="2" a="1"/>
  <c r="I241" i="2"/>
  <c r="I242" i="2" a="1"/>
  <c r="I242" i="2"/>
  <c r="I243" i="2" a="1"/>
  <c r="I243" i="2" s="1"/>
  <c r="I244" i="2" a="1"/>
  <c r="I244" i="2"/>
  <c r="I245" i="2" a="1"/>
  <c r="I245" i="2"/>
  <c r="I246" i="2" a="1"/>
  <c r="I246" i="2" s="1"/>
  <c r="I247" i="2" a="1"/>
  <c r="I247" i="2"/>
  <c r="I248" i="2" a="1"/>
  <c r="I248" i="2"/>
  <c r="I249" i="2" a="1"/>
  <c r="I249" i="2"/>
  <c r="I250" i="2" a="1"/>
  <c r="I250" i="2"/>
  <c r="I251" i="2" a="1"/>
  <c r="I251" i="2" s="1"/>
  <c r="I252" i="2" a="1"/>
  <c r="I252" i="2"/>
  <c r="I253" i="2" a="1"/>
  <c r="I253" i="2"/>
  <c r="I254" i="2" a="1"/>
  <c r="I254" i="2" s="1"/>
  <c r="I255" i="2" a="1"/>
  <c r="I255" i="2"/>
  <c r="I256" i="2" a="1"/>
  <c r="I256" i="2"/>
  <c r="I257" i="2" a="1"/>
  <c r="I257" i="2"/>
  <c r="I258" i="2" a="1"/>
  <c r="I258" i="2"/>
  <c r="I259" i="2" a="1"/>
  <c r="I259" i="2" s="1"/>
  <c r="I260" i="2" a="1"/>
  <c r="I260" i="2"/>
  <c r="I261" i="2" a="1"/>
  <c r="I261" i="2"/>
  <c r="I262" i="2" a="1"/>
  <c r="I262" i="2" s="1"/>
  <c r="I263" i="2" a="1"/>
  <c r="I263" i="2"/>
  <c r="I264" i="2" a="1"/>
  <c r="I264" i="2"/>
  <c r="I265" i="2" a="1"/>
  <c r="I265" i="2"/>
  <c r="I266" i="2" a="1"/>
  <c r="I266" i="2"/>
  <c r="I267" i="2" a="1"/>
  <c r="I267" i="2" s="1"/>
  <c r="I268" i="2" a="1"/>
  <c r="I268" i="2"/>
  <c r="I269" i="2" a="1"/>
  <c r="I269" i="2"/>
  <c r="I270" i="2" a="1"/>
  <c r="I270" i="2" s="1"/>
  <c r="I271" i="2" a="1"/>
  <c r="I271" i="2"/>
  <c r="I272" i="2" a="1"/>
  <c r="I272" i="2"/>
  <c r="I273" i="2" a="1"/>
  <c r="I273" i="2"/>
  <c r="I274" i="2" a="1"/>
  <c r="I274" i="2"/>
  <c r="I275" i="2" a="1"/>
  <c r="I275" i="2" s="1"/>
  <c r="I276" i="2" a="1"/>
  <c r="I276" i="2"/>
  <c r="I277" i="2" a="1"/>
  <c r="I277" i="2"/>
  <c r="I278" i="2" a="1"/>
  <c r="I278" i="2" s="1"/>
  <c r="I279" i="2" a="1"/>
  <c r="I279" i="2"/>
  <c r="I280" i="2" a="1"/>
  <c r="I280" i="2"/>
  <c r="I281" i="2" a="1"/>
  <c r="I281" i="2"/>
  <c r="I282" i="2" a="1"/>
  <c r="I282" i="2"/>
  <c r="I283" i="2" a="1"/>
  <c r="I283" i="2" s="1"/>
  <c r="I284" i="2" a="1"/>
  <c r="I284" i="2"/>
  <c r="I285" i="2" a="1"/>
  <c r="I285" i="2"/>
  <c r="I286" i="2" a="1"/>
  <c r="I286" i="2" s="1"/>
  <c r="I287" i="2" a="1"/>
  <c r="I287" i="2"/>
  <c r="I288" i="2" a="1"/>
  <c r="I288" i="2"/>
  <c r="I289" i="2" a="1"/>
  <c r="I289" i="2"/>
  <c r="I290" i="2" a="1"/>
  <c r="I290" i="2"/>
  <c r="I291" i="2" a="1"/>
  <c r="I291" i="2" s="1"/>
  <c r="I292" i="2" a="1"/>
  <c r="I292" i="2"/>
  <c r="I293" i="2" a="1"/>
  <c r="I293" i="2"/>
  <c r="I294" i="2" a="1"/>
  <c r="I294" i="2" s="1"/>
  <c r="I295" i="2" a="1"/>
  <c r="I295" i="2"/>
  <c r="I296" i="2" a="1"/>
  <c r="I296" i="2"/>
  <c r="I297" i="2" a="1"/>
  <c r="I297" i="2"/>
  <c r="I298" i="2" a="1"/>
  <c r="I298" i="2"/>
  <c r="I299" i="2" a="1"/>
  <c r="I299" i="2" s="1"/>
  <c r="I300" i="2" a="1"/>
  <c r="I300" i="2"/>
  <c r="I301" i="2" a="1"/>
  <c r="I301" i="2"/>
  <c r="I2" i="2" a="1"/>
  <c r="I2" i="2" s="1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<sst xmlns="http://schemas.openxmlformats.org/spreadsheetml/2006/main" count="703" uniqueCount="60">
  <si>
    <t>Battery_ID</t>
  </si>
  <si>
    <t>Charging_Method</t>
  </si>
  <si>
    <t>Capacity_Retention</t>
  </si>
  <si>
    <t>Cycle_Life</t>
  </si>
  <si>
    <t>Charging_Current</t>
  </si>
  <si>
    <t>Operating_Temperature</t>
  </si>
  <si>
    <t>Discharge_Rate</t>
  </si>
  <si>
    <t>Internal_Resistance</t>
  </si>
  <si>
    <t>Fast</t>
  </si>
  <si>
    <t>Normal</t>
  </si>
  <si>
    <t>Slow</t>
  </si>
  <si>
    <t>Status</t>
  </si>
  <si>
    <t>IF: Apakah kapasitas baterai bagus?</t>
  </si>
  <si>
    <t>IFS: Kategori performa baterai</t>
  </si>
  <si>
    <t>Metode</t>
  </si>
  <si>
    <t>Column1</t>
  </si>
  <si>
    <t>Column2</t>
  </si>
  <si>
    <t>Column3</t>
  </si>
  <si>
    <t>SUMIF – Menjumlahkan dengan Syarat</t>
  </si>
  <si>
    <t>AVERAGEIF – Merata-ratakan dengan Syarat</t>
  </si>
  <si>
    <t>Cocok untuk:</t>
  </si>
  <si>
    <t>100: nilai baru (Cycle Life) yang ingin diprediksi</t>
  </si>
  <si>
    <t>G2:G301: nilai yang diprediksi (Capacity Retention)</t>
  </si>
  <si>
    <t>H2:H301: nilai historis (Cycle Life)</t>
  </si>
  <si>
    <t>FORECAST – Prediksi Berdasarkan Tren</t>
  </si>
  <si>
    <t>VLOOKUP – Mencari Data Secara Vertikal</t>
  </si>
  <si>
    <t>✅ Cari Cycle Life berdasarkan Battery ID</t>
  </si>
  <si>
    <t>FALSE: pencocokan eksak</t>
  </si>
  <si>
    <t>B2: nilai yang dicari (Battery ID)</t>
  </si>
  <si>
    <t>Main Data B2:I301: area data</t>
  </si>
  <si>
    <t>{2;3}: ambil dari kolom ke-2&amp;3 (Cycle Life)</t>
  </si>
  <si>
    <t>XLOOKUP – Pengganti Modern VLOOKUP</t>
  </si>
  <si>
    <t>Lebih fleksibel dari VLOOKUP</t>
  </si>
  <si>
    <t>Bisa cari dari kanan ke kiri, dan tidak perlu hitung posisi kolom</t>
  </si>
  <si>
    <t>Charging Method</t>
  </si>
  <si>
    <t>Capacity</t>
  </si>
  <si>
    <t>Temprature</t>
  </si>
  <si>
    <t>Cycle life</t>
  </si>
  <si>
    <t>Battery Id</t>
  </si>
  <si>
    <t>capacity</t>
  </si>
  <si>
    <t>cycle life</t>
  </si>
  <si>
    <r>
      <t xml:space="preserve">Fungsi </t>
    </r>
    <r>
      <rPr>
        <sz val="10"/>
        <color theme="1"/>
        <rFont val="Arial Unicode MS"/>
      </rPr>
      <t>FILTER</t>
    </r>
    <r>
      <rPr>
        <sz val="11"/>
        <color theme="1"/>
        <rFont val="Calibri"/>
        <family val="2"/>
        <scheme val="minor"/>
      </rPr>
      <t xml:space="preserve"> di Excel digunakan untuk </t>
    </r>
    <r>
      <rPr>
        <b/>
        <sz val="11"/>
        <color theme="1"/>
        <rFont val="Calibri"/>
        <family val="2"/>
        <scheme val="minor"/>
      </rPr>
      <t>menyaring data</t>
    </r>
    <r>
      <rPr>
        <sz val="11"/>
        <color theme="1"/>
        <rFont val="Calibri"/>
        <family val="2"/>
        <scheme val="minor"/>
      </rPr>
      <t xml:space="preserve"> berdasarkan </t>
    </r>
    <r>
      <rPr>
        <b/>
        <sz val="11"/>
        <color theme="1"/>
        <rFont val="Calibri"/>
        <family val="2"/>
        <scheme val="minor"/>
      </rPr>
      <t>kriteria tertentu</t>
    </r>
    <r>
      <rPr>
        <sz val="11"/>
        <color theme="1"/>
        <rFont val="Calibri"/>
        <family val="2"/>
        <scheme val="minor"/>
      </rPr>
      <t>.</t>
    </r>
  </si>
  <si>
    <t>FILTER(range_data; kondisi)</t>
  </si>
  <si>
    <r>
      <t>range_data</t>
    </r>
    <r>
      <rPr>
        <sz val="11"/>
        <color theme="1"/>
        <rFont val="Calibri"/>
        <family val="2"/>
        <scheme val="minor"/>
      </rPr>
      <t>: data yang mau ditampilkan.</t>
    </r>
  </si>
  <si>
    <r>
      <t>kondisi</t>
    </r>
    <r>
      <rPr>
        <sz val="11"/>
        <color theme="1"/>
        <rFont val="Calibri"/>
        <family val="2"/>
        <scheme val="minor"/>
      </rPr>
      <t>: syarat penyaringannya.</t>
    </r>
  </si>
  <si>
    <t>Methode</t>
  </si>
  <si>
    <t>MATCH(10, A2:A100, 0): cari posisi Battery ID = 10</t>
  </si>
  <si>
    <r>
      <t xml:space="preserve">INDEX akan ambil nilai dari kolom </t>
    </r>
    <r>
      <rPr>
        <sz val="10"/>
        <color theme="1"/>
        <rFont val="Arial Unicode MS"/>
      </rPr>
      <t>Cycle_Life</t>
    </r>
    <r>
      <rPr>
        <sz val="11"/>
        <color theme="1"/>
        <rFont val="Calibri"/>
        <family val="2"/>
        <scheme val="minor"/>
      </rPr>
      <t xml:space="preserve"> sesuai posisi</t>
    </r>
  </si>
  <si>
    <t>Kelebihan:</t>
  </si>
  <si>
    <t>Tidak tergantung urutan kolom</t>
  </si>
  <si>
    <t>INDEX(D2:D100, MATCH(10, A2:A100, 0))</t>
  </si>
  <si>
    <t>INDEX + MATCH – Kombinasi  dan Fleksibel</t>
  </si>
  <si>
    <t>MATCH</t>
  </si>
  <si>
    <r>
      <t xml:space="preserve">Mencari </t>
    </r>
    <r>
      <rPr>
        <b/>
        <sz val="11"/>
        <color theme="1"/>
        <rFont val="Calibri"/>
        <family val="2"/>
        <scheme val="minor"/>
      </rPr>
      <t>posisi</t>
    </r>
    <r>
      <rPr>
        <sz val="11"/>
        <color theme="1"/>
        <rFont val="Calibri"/>
        <family val="2"/>
        <scheme val="minor"/>
      </rPr>
      <t xml:space="preserve"> dari suatu nilai dalam satu baris atau kolom.</t>
    </r>
  </si>
  <si>
    <t>INDEX</t>
  </si>
  <si>
    <r>
      <t xml:space="preserve">Mengambil </t>
    </r>
    <r>
      <rPr>
        <b/>
        <sz val="11"/>
        <color theme="1"/>
        <rFont val="Calibri"/>
        <family val="2"/>
        <scheme val="minor"/>
      </rPr>
      <t>nilai</t>
    </r>
    <r>
      <rPr>
        <sz val="11"/>
        <color theme="1"/>
        <rFont val="Calibri"/>
        <family val="2"/>
        <scheme val="minor"/>
      </rPr>
      <t xml:space="preserve"> dari posisi tertentu dalam satu rentang.</t>
    </r>
  </si>
  <si>
    <t>INDEX(D2:D100, 5)</t>
  </si>
  <si>
    <t>MATCH(10, A2:A100, 0)</t>
  </si>
  <si>
    <r>
      <t xml:space="preserve">Cari nilai </t>
    </r>
    <r>
      <rPr>
        <b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 di kolom </t>
    </r>
    <r>
      <rPr>
        <sz val="10"/>
        <color theme="1"/>
        <rFont val="Arial Unicode MS"/>
      </rPr>
      <t>A2:A100</t>
    </r>
    <r>
      <rPr>
        <sz val="11"/>
        <color theme="1"/>
        <rFont val="Calibri"/>
        <family val="2"/>
        <scheme val="minor"/>
      </rPr>
      <t>, dan kasih tahu posisinya (misal: baris ke-5 dalam rentang itu).</t>
    </r>
  </si>
  <si>
    <r>
      <t xml:space="preserve">Ambil nilai </t>
    </r>
    <r>
      <rPr>
        <b/>
        <sz val="11"/>
        <color theme="1"/>
        <rFont val="Calibri"/>
        <family val="2"/>
        <scheme val="minor"/>
      </rPr>
      <t>baris ke-5</t>
    </r>
    <r>
      <rPr>
        <sz val="11"/>
        <color theme="1"/>
        <rFont val="Calibri"/>
        <family val="2"/>
        <scheme val="minor"/>
      </rPr>
      <t xml:space="preserve"> dari kolom </t>
    </r>
    <r>
      <rPr>
        <sz val="10"/>
        <color theme="1"/>
        <rFont val="Arial Unicode MS"/>
      </rPr>
      <t>D2:D100</t>
    </r>
    <r>
      <rPr>
        <sz val="11"/>
        <color theme="1"/>
        <rFont val="Calibri"/>
        <family val="2"/>
        <scheme val="minor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</si>
</sst>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0"/>
      <color theme="1"/>
      <name val="Arial Unicode MS"/>
    </font>
    <font>
      <b/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0"/>
      <color theme="1"/>
      <name val="Arial Unicode MS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</fills>
  <borders count="10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/>
      <right style="thin">
        <color theme="0"/>
      </right>
      <top/>
      <bottom style="thick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0" fillId="2" borderId="1" xfId="0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0" fillId="3" borderId="2" xfId="0" applyFill="1" applyBorder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4" borderId="5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2" fillId="4" borderId="6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6" fillId="0" borderId="0" xfId="0" applyFont="1"/>
    <xf numFmtId="0" fontId="2" fillId="4" borderId="7" xfId="0" applyFont="1" applyFill="1" applyBorder="1" applyAlignment="1">
      <alignment horizontal="center" vertical="center"/>
    </xf>
    <xf numFmtId="0" fontId="0" fillId="2" borderId="8" xfId="0" applyFill="1" applyBorder="1" applyAlignment="1">
      <alignment vertical="center"/>
    </xf>
    <xf numFmtId="0" fontId="0" fillId="3" borderId="8" xfId="0" applyFill="1" applyBorder="1" applyAlignment="1">
      <alignment vertical="center"/>
    </xf>
    <xf numFmtId="0" fontId="0" fillId="2" borderId="9" xfId="0" applyFill="1" applyBorder="1" applyAlignment="1">
      <alignment vertical="center"/>
    </xf>
    <xf numFmtId="0" fontId="0" fillId="0" borderId="0" xfId="0" applyFont="1" applyAlignment="1">
      <alignment vertical="center"/>
    </xf>
    <xf numFmtId="0" fontId="1" fillId="0" borderId="0" xfId="0" applyFont="1"/>
    <xf numFmtId="0" fontId="4" fillId="0" borderId="0" xfId="0" applyFont="1" applyAlignment="1">
      <alignment horizontal="left" vertical="center" indent="1"/>
    </xf>
    <xf numFmtId="0" fontId="0" fillId="3" borderId="1" xfId="0" applyFont="1" applyFill="1" applyBorder="1" applyAlignment="1">
      <alignment vertical="center"/>
    </xf>
    <xf numFmtId="0" fontId="0" fillId="2" borderId="1" xfId="0" applyFont="1" applyFill="1" applyBorder="1" applyAlignment="1">
      <alignment vertical="center"/>
    </xf>
    <xf numFmtId="0" fontId="7" fillId="0" borderId="0" xfId="0" applyFont="1" applyAlignment="1">
      <alignment vertical="center"/>
    </xf>
  </cellXfs>
  <cellStyles count="1">
    <cellStyle name="Normal" xfId="0" builtinId="0"/>
  </cellStyles>
  <dxfs count="3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border outline="0">
        <bottom style="thick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border outline="0">
        <right style="thin">
          <color theme="0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png"/><Relationship Id="rId1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190500</xdr:rowOff>
    </xdr:from>
    <xdr:to>
      <xdr:col>5</xdr:col>
      <xdr:colOff>400361</xdr:colOff>
      <xdr:row>2</xdr:row>
      <xdr:rowOff>141021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E05F3C-8082-4157-8A51-12ABBD44E4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35480" y="190500"/>
          <a:ext cx="2229161" cy="362001"/>
        </a:xfrm>
        <a:prstGeom prst="rect">
          <a:avLst/>
        </a:prstGeom>
      </xdr:spPr>
    </xdr:pic>
    <xdr:clientData/>
  </xdr:twoCellAnchor>
  <xdr:twoCellAnchor editAs="oneCell">
    <xdr:from>
      <xdr:col>9</xdr:col>
      <xdr:colOff>72081</xdr:colOff>
      <xdr:row>1</xdr:row>
      <xdr:rowOff>61784</xdr:rowOff>
    </xdr:from>
    <xdr:to>
      <xdr:col>18</xdr:col>
      <xdr:colOff>558172</xdr:colOff>
      <xdr:row>2</xdr:row>
      <xdr:rowOff>76486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56E2508-7915-AC13-D4CE-BD36A7050D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177216" y="288325"/>
          <a:ext cx="5953956" cy="20005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</xdr:row>
      <xdr:rowOff>286871</xdr:rowOff>
    </xdr:from>
    <xdr:to>
      <xdr:col>3</xdr:col>
      <xdr:colOff>507546</xdr:colOff>
      <xdr:row>7</xdr:row>
      <xdr:rowOff>59427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B82A257-B981-C563-5CAD-9C121F367B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01271"/>
          <a:ext cx="3439005" cy="24768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8963</xdr:rowOff>
    </xdr:from>
    <xdr:to>
      <xdr:col>3</xdr:col>
      <xdr:colOff>203001</xdr:colOff>
      <xdr:row>18</xdr:row>
      <xdr:rowOff>134470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8FF4DAC-75EA-6183-D2E0-B07327A3B41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40501" t="33982" b="18966"/>
        <a:stretch/>
      </xdr:blipFill>
      <xdr:spPr>
        <a:xfrm>
          <a:off x="0" y="3128681"/>
          <a:ext cx="3134460" cy="484095"/>
        </a:xfrm>
        <a:prstGeom prst="rect">
          <a:avLst/>
        </a:prstGeom>
      </xdr:spPr>
    </xdr:pic>
    <xdr:clientData/>
  </xdr:twoCellAnchor>
  <xdr:twoCellAnchor editAs="oneCell">
    <xdr:from>
      <xdr:col>1</xdr:col>
      <xdr:colOff>80682</xdr:colOff>
      <xdr:row>21</xdr:row>
      <xdr:rowOff>0</xdr:rowOff>
    </xdr:from>
    <xdr:to>
      <xdr:col>3</xdr:col>
      <xdr:colOff>570754</xdr:colOff>
      <xdr:row>23</xdr:row>
      <xdr:rowOff>12939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B4A4ECB-6858-DDBF-B634-28624C5553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15788" y="4016188"/>
          <a:ext cx="2686425" cy="37152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30480</xdr:colOff>
      <xdr:row>3</xdr:row>
      <xdr:rowOff>129540</xdr:rowOff>
    </xdr:from>
    <xdr:to>
      <xdr:col>10</xdr:col>
      <xdr:colOff>183412</xdr:colOff>
      <xdr:row>5</xdr:row>
      <xdr:rowOff>78149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3998550-0656-C542-7856-EDFF197D8B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15740" y="853440"/>
          <a:ext cx="3810532" cy="314369"/>
        </a:xfrm>
        <a:prstGeom prst="rect">
          <a:avLst/>
        </a:prstGeom>
      </xdr:spPr>
    </xdr:pic>
    <xdr:clientData/>
  </xdr:twoCellAnchor>
  <xdr:twoCellAnchor editAs="oneCell">
    <xdr:from>
      <xdr:col>17</xdr:col>
      <xdr:colOff>43999</xdr:colOff>
      <xdr:row>3</xdr:row>
      <xdr:rowOff>149942</xdr:rowOff>
    </xdr:from>
    <xdr:to>
      <xdr:col>24</xdr:col>
      <xdr:colOff>602039</xdr:colOff>
      <xdr:row>7</xdr:row>
      <xdr:rowOff>17104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0DB54C9-678D-AA51-E29B-666CF46F76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334322" y="887361"/>
          <a:ext cx="4859652" cy="604582"/>
        </a:xfrm>
        <a:prstGeom prst="rect">
          <a:avLst/>
        </a:prstGeom>
      </xdr:spPr>
    </xdr:pic>
    <xdr:clientData/>
  </xdr:twoCellAnchor>
  <xdr:twoCellAnchor editAs="oneCell">
    <xdr:from>
      <xdr:col>17</xdr:col>
      <xdr:colOff>73741</xdr:colOff>
      <xdr:row>8</xdr:row>
      <xdr:rowOff>36870</xdr:rowOff>
    </xdr:from>
    <xdr:to>
      <xdr:col>23</xdr:col>
      <xdr:colOff>340072</xdr:colOff>
      <xdr:row>14</xdr:row>
      <xdr:rowOff>140585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79AFADB-34B1-A365-2474-0AD6B6EE7D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364064" y="1696064"/>
          <a:ext cx="3953427" cy="120984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36617</xdr:colOff>
      <xdr:row>3</xdr:row>
      <xdr:rowOff>158191</xdr:rowOff>
    </xdr:from>
    <xdr:to>
      <xdr:col>10</xdr:col>
      <xdr:colOff>435832</xdr:colOff>
      <xdr:row>10</xdr:row>
      <xdr:rowOff>88985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AB41934-8993-24F9-2C6E-2223C87895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36392" y="705543"/>
          <a:ext cx="3457947" cy="120794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19</xdr:row>
      <xdr:rowOff>27465</xdr:rowOff>
    </xdr:from>
    <xdr:to>
      <xdr:col>8</xdr:col>
      <xdr:colOff>273350</xdr:colOff>
      <xdr:row>21</xdr:row>
      <xdr:rowOff>5512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9357D91-AD15-7D5E-C99C-6191C8A424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579160"/>
          <a:ext cx="6240197" cy="339674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F11D8BB-3E19-4A05-AED4-24BB905CCBBF}" name="Table1" displayName="Table1" ref="A1:H301" totalsRowShown="0" headerRowDxfId="30" dataDxfId="29">
  <autoFilter ref="A1:H301" xr:uid="{7F11D8BB-3E19-4A05-AED4-24BB905CCBBF}"/>
  <tableColumns count="8">
    <tableColumn id="1" xr3:uid="{000FDBDF-AA93-4A51-9549-45F9CE9F20A1}" name="Battery_ID" dataDxfId="28"/>
    <tableColumn id="2" xr3:uid="{A0AE7D71-D30D-4D49-AF23-2278096D3463}" name="Charging_Method" dataDxfId="27"/>
    <tableColumn id="3" xr3:uid="{D484D32B-1662-4500-850D-BE5298DCF7A3}" name="Capacity_Retention" dataDxfId="26"/>
    <tableColumn id="4" xr3:uid="{61762C1E-F461-47FE-8360-C80FCAB273CE}" name="Cycle_Life" dataDxfId="25"/>
    <tableColumn id="5" xr3:uid="{86B22BFD-9B74-4CD5-86F0-D5BEB83F7A59}" name="Charging_Current" dataDxfId="24"/>
    <tableColumn id="6" xr3:uid="{ED5CC4DE-2FD4-4A3B-83AC-BC9E822CA6EA}" name="Operating_Temperature" dataDxfId="23"/>
    <tableColumn id="7" xr3:uid="{9AF92F22-4901-4F15-BD9A-975DC4D7F654}" name="Discharge_Rate" dataDxfId="22"/>
    <tableColumn id="8" xr3:uid="{1E486996-6520-43F5-AF91-F5F605B8FDAD}" name="Internal_Resistance" dataDxfId="21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5BDEF09-93B0-469C-B986-E0237464E13E}" name="Table2" displayName="Table2" ref="A1:B301" totalsRowShown="0">
  <autoFilter ref="A1:B301" xr:uid="{A5BDEF09-93B0-469C-B986-E0237464E13E}"/>
  <tableColumns count="2">
    <tableColumn id="1" xr3:uid="{BB3A4C47-4872-4CE6-B516-7D0C04BA78B9}" name="Capacity_Retention" dataDxfId="16"/>
    <tableColumn id="2" xr3:uid="{A3E7D1CF-42DF-4CBE-A9A8-0A61097B3BF0}" name="Status">
      <calculatedColumnFormula>IF(A2&gt;80,"Bagus", "Kurang")</calculatedColumnFormula>
    </tableColumn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A5CAF30-F826-4547-9AAD-4BE5C2F2DC52}" name="Table3" displayName="Table3" ref="H1:I301" totalsRowShown="0">
  <autoFilter ref="H1:I301" xr:uid="{AA5CAF30-F826-4547-9AAD-4BE5C2F2DC52}"/>
  <tableColumns count="2">
    <tableColumn id="1" xr3:uid="{9135065F-7A64-4180-B8E2-25D2C97F8051}" name="Capacity_Retention" dataDxfId="15"/>
    <tableColumn id="2" xr3:uid="{8FF9DE0D-3C69-46D7-AED0-078158A2E52E}" name="Status">
      <calculatedColumnFormula array="1">_xlfn.IFS(H2&gt;90,"Sangat Bagus",H2&gt;80,"Bagus",H2&gt;65,"Cukup Bagus",TRUE,"Kurang")</calculatedColumnFormula>
    </tableColumn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B2B4F69-90ED-4008-81C1-BBC228860D41}" name="Table4" displayName="Table4" ref="A1:D4" totalsRowShown="0" headerRowDxfId="14">
  <autoFilter ref="A1:D4" xr:uid="{EB2B4F69-90ED-4008-81C1-BBC228860D41}"/>
  <tableColumns count="4">
    <tableColumn id="1" xr3:uid="{88138952-DABF-4A82-9EBC-1FFEBC4F5395}" name="Metode"/>
    <tableColumn id="2" xr3:uid="{C7D25EA9-35D6-4580-95F0-942F718C0AB8}" name="Capacity_Retention"/>
    <tableColumn id="3" xr3:uid="{CC0FE9B4-2906-48F1-B3CE-32B5E4BDE9AE}" name="Cycle_Life">
      <calculatedColumnFormula>SUMIF($F$2:F301,Table4[[#This Row],[Metode]],$H$2:H301)</calculatedColumnFormula>
    </tableColumn>
    <tableColumn id="4" xr3:uid="{EFA3510B-1232-4B40-A0E5-5B2B5D96CE68}" name="Charging_Current">
      <calculatedColumnFormula>SUMIF($F$2:F301,Table4[[#This Row],[Metode]],$I$2:I301)</calculatedColumnFormula>
    </tableColumn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83876E2-A911-4AD1-9AEF-9D79CCDFACF1}" name="Table5" displayName="Table5" ref="F1:I301" totalsRowShown="0" headerRowDxfId="13" dataDxfId="12" tableBorderDxfId="11">
  <autoFilter ref="F1:I301" xr:uid="{B83876E2-A911-4AD1-9AEF-9D79CCDFACF1}"/>
  <tableColumns count="4">
    <tableColumn id="1" xr3:uid="{08DB8409-A619-4AF5-97A3-EDE6A9089047}" name="Metode" dataDxfId="10"/>
    <tableColumn id="2" xr3:uid="{5ED1C46D-542D-4C1D-A5D6-1C07425E234C}" name="Capacity_Retention" dataDxfId="9"/>
    <tableColumn id="3" xr3:uid="{DAC49EAF-E629-48BE-9668-E1BFDFAF5DB8}" name="Cycle_Life" dataDxfId="8"/>
    <tableColumn id="4" xr3:uid="{8F0B2F7A-3136-4493-B90B-27CD618392B2}" name="Charging_Current" dataDxfId="7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C3FD859-1EA6-413D-AC0B-B494429A9DBE}" name="Table6" displayName="Table6" ref="A10:C14" totalsRowShown="0">
  <autoFilter ref="A10:C14" xr:uid="{DC3FD859-1EA6-413D-AC0B-B494429A9DBE}"/>
  <tableColumns count="3">
    <tableColumn id="1" xr3:uid="{C89E14CB-50AE-465D-B961-B615F7BD322E}" name="Column1"/>
    <tableColumn id="2" xr3:uid="{00359D82-FB78-4394-897B-CD61CE09B7A1}" name="Column2"/>
    <tableColumn id="3" xr3:uid="{2557D74D-2908-46AE-8258-8F43D5AD26AF}" name="Column3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DBB69E8-8787-4764-932A-79F5B03C1AEE}" name="Table7" displayName="Table7" ref="A1:C7" totalsRowShown="0" headerRowDxfId="6" headerRowBorderDxfId="5">
  <autoFilter ref="A1:C7" xr:uid="{7DBB69E8-8787-4764-932A-79F5B03C1AEE}"/>
  <tableColumns count="3">
    <tableColumn id="1" xr3:uid="{A47375BE-E447-4732-9CF1-8721913D4659}" name="Battery_ID"/>
    <tableColumn id="2" xr3:uid="{C98DE67D-33F2-4E49-BBFA-DC81877471EF}" name="Charging_Method">
      <calculatedColumnFormula array="1">VLOOKUP(A2,'Main Data'!$A$2:$H$301,{2.3},FALSE)</calculatedColumnFormula>
    </tableColumn>
    <tableColumn id="3" xr3:uid="{D724F208-3703-4E12-8306-F519C8ACCB50}" name="Capacity_Retention">
      <calculatedColumnFormula array="1">VLOOKUP(B2,'Main Data'!$B$2:$I$301,{2.3},FALSE)</calculatedColumnFormula>
    </tableColumn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57141672-D98E-4A61-B93D-A01711A69636}" name="Table17" displayName="Table17" ref="N1:P6" totalsRowShown="0">
  <autoFilter ref="N1:P6" xr:uid="{57141672-D98E-4A61-B93D-A01711A69636}"/>
  <tableColumns count="3">
    <tableColumn id="1" xr3:uid="{BD4EDA70-046E-4485-BF6C-F307FEFACE2F}" name="Battery Id"/>
    <tableColumn id="2" xr3:uid="{61ED21D2-E667-4D41-9C9A-AEBAB6BBEAD4}" name="capacity">
      <calculatedColumnFormula>_xlfn.XLOOKUP(N2,Table1[Battery_ID],Table1[Capacity_Retention],"Tidak Ada")</calculatedColumnFormula>
    </tableColumn>
    <tableColumn id="3" xr3:uid="{30974338-89C4-443F-84C9-9D5D6DFBB2DB}" name="cycle life">
      <calculatedColumnFormula>_xlfn.XLOOKUP(N2,Table1[Battery_ID],Table1[Cycle_Life],"Tidak Ada")</calculatedColumnFormula>
    </tableColumn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1A74ADEE-B903-499E-AB94-216BBB61DA0A}" name="Table1421" displayName="Table1421" ref="N9:Q18" totalsRowShown="0" dataDxfId="3">
  <autoFilter ref="N9:Q18" xr:uid="{1A74ADEE-B903-499E-AB94-216BBB61DA0A}"/>
  <tableColumns count="4">
    <tableColumn id="1" xr3:uid="{D5D36E95-752A-4CD3-B636-630A44DD6258}" name="Charging Method" dataDxfId="2"/>
    <tableColumn id="2" xr3:uid="{695FD6B9-8B21-4C22-B451-03912F71CDE6}" name="Capacity" dataDxfId="1"/>
    <tableColumn id="3" xr3:uid="{B840FAEF-52C0-4497-A317-799137D64773}" name="Temprature" dataDxfId="0"/>
    <tableColumn id="4" xr3:uid="{6614F0DF-557F-4314-9204-369FB2CB9A3D}" name="Cycle life">
      <calculatedColumnFormula array="1">_xlfn.XLOOKUP(1,
    (Table1[Charging_Method]=Table1421[[#This Row],[Charging Method]]) *
    (Table1[Capacity_Retention]=Table1421[[#This Row],[Capacity]]) *
    (Table1[Operating_Temperature]=Table1421[[#This Row],[Temprature]]),
    Table1[Cycle_Life])</calculatedColumnFormula>
    </tableColumn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1BE59888-9736-4796-AE75-B3EB10E6975C}" name="Table14" displayName="Table14" ref="A1:D10" totalsRowShown="0" dataDxfId="20">
  <autoFilter ref="A1:D10" xr:uid="{1BE59888-9736-4796-AE75-B3EB10E6975C}"/>
  <tableColumns count="4">
    <tableColumn id="1" xr3:uid="{17101EBD-0DDE-4913-924D-EDA792923359}" name="Charging Method" dataDxfId="19"/>
    <tableColumn id="2" xr3:uid="{A009716F-ED94-4231-B12B-600FD146E6F7}" name="Capacity" dataDxfId="18"/>
    <tableColumn id="3" xr3:uid="{14126A4A-D907-4067-9AEC-022803614355}" name="Temprature" dataDxfId="17"/>
    <tableColumn id="4" xr3:uid="{D48F444E-56B4-4B5B-B015-2CDE7426A9F1}" name="Cycle life">
      <calculatedColumnFormula>INDEX(Table1[Cycle_Life],MATCH(Table14[[#This Row],[Charging Method]],Table1[Charging_Method],0),MATCH(Table14[[#This Row],[Capacity]],Table1[Capacity_Retention],0),MATCH(Table14[[#This Row],[Temprature]],Table1[Operating_Temperature],0))</calculatedColumnFormula>
    </tableColumn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729DEA77-1B36-42C1-A2F0-1611DEB1A103}" name="Table19" displayName="Table19" ref="A12:B17" totalsRowShown="0">
  <autoFilter ref="A12:B17" xr:uid="{729DEA77-1B36-42C1-A2F0-1611DEB1A103}"/>
  <tableColumns count="2">
    <tableColumn id="1" xr3:uid="{778A365C-6950-4CD2-B637-68D4B45E2E33}" name="Capacity" dataDxfId="4"/>
    <tableColumn id="2" xr3:uid="{54A792F4-23D9-4E14-8ECC-C6576F8E1C81}" name="Methode">
      <calculatedColumnFormula>INDEX(Table1[Charging_Method],MATCH(Table19[[#This Row],[Capacity]],Table1[Capacity_Retention],0))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drawing" Target="../drawings/drawing2.xml"/><Relationship Id="rId4" Type="http://schemas.openxmlformats.org/officeDocument/2006/relationships/table" Target="../tables/table6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table" Target="../tables/table7.xml"/><Relationship Id="rId1" Type="http://schemas.openxmlformats.org/officeDocument/2006/relationships/drawing" Target="../drawings/drawing3.xml"/><Relationship Id="rId4" Type="http://schemas.openxmlformats.org/officeDocument/2006/relationships/table" Target="../tables/table9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.xml"/><Relationship Id="rId2" Type="http://schemas.openxmlformats.org/officeDocument/2006/relationships/table" Target="../tables/table10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01"/>
  <sheetViews>
    <sheetView zoomScale="70" workbookViewId="0">
      <selection activeCell="C12" sqref="C12"/>
    </sheetView>
  </sheetViews>
  <sheetFormatPr defaultRowHeight="14.4" x14ac:dyDescent="0.3"/>
  <cols>
    <col min="1" max="1" width="11.77734375" customWidth="1"/>
    <col min="2" max="2" width="18.109375" customWidth="1"/>
    <col min="3" max="3" width="19.33203125" customWidth="1"/>
    <col min="4" max="4" width="11.33203125" customWidth="1"/>
    <col min="5" max="5" width="17.6640625" customWidth="1"/>
    <col min="6" max="6" width="23.109375" customWidth="1"/>
    <col min="7" max="7" width="15.77734375" customWidth="1"/>
    <col min="8" max="8" width="19.21875" customWidth="1"/>
  </cols>
  <sheetData>
    <row r="1" spans="1:8" s="1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3">
      <c r="A2" s="3">
        <v>1</v>
      </c>
      <c r="B2" s="3" t="s">
        <v>8</v>
      </c>
      <c r="C2" s="3">
        <v>83.318573060343368</v>
      </c>
      <c r="D2" s="3">
        <v>497.85427343833157</v>
      </c>
      <c r="E2" s="3">
        <v>6.2220367808459702</v>
      </c>
      <c r="F2" s="3">
        <v>41.957657482015577</v>
      </c>
      <c r="G2" s="3">
        <v>3.3595502237060759</v>
      </c>
      <c r="H2" s="3">
        <v>17.537039908640011</v>
      </c>
    </row>
    <row r="3" spans="1:8" x14ac:dyDescent="0.3">
      <c r="A3" s="3">
        <v>2</v>
      </c>
      <c r="B3" s="3" t="s">
        <v>8</v>
      </c>
      <c r="C3" s="3">
        <v>84.309467531550155</v>
      </c>
      <c r="D3" s="3">
        <v>497.74193309534678</v>
      </c>
      <c r="E3" s="3">
        <v>2.917959100758774</v>
      </c>
      <c r="F3" s="3">
        <v>42.626058363541588</v>
      </c>
      <c r="G3" s="3">
        <v>-0.77253048208754738</v>
      </c>
      <c r="H3" s="3">
        <v>19.078228301034081</v>
      </c>
    </row>
    <row r="4" spans="1:8" x14ac:dyDescent="0.3">
      <c r="A4" s="3">
        <v>3</v>
      </c>
      <c r="B4" s="3" t="s">
        <v>8</v>
      </c>
      <c r="C4" s="3">
        <v>89.676124942447373</v>
      </c>
      <c r="D4" s="3">
        <v>497.18438388917929</v>
      </c>
      <c r="E4" s="3">
        <v>2.900008973172242</v>
      </c>
      <c r="F4" s="3">
        <v>45.898781054218688</v>
      </c>
      <c r="G4" s="3">
        <v>4.0545740445185494</v>
      </c>
      <c r="H4" s="3">
        <v>17.293705974381609</v>
      </c>
    </row>
    <row r="5" spans="1:8" x14ac:dyDescent="0.3">
      <c r="A5" s="3">
        <v>4</v>
      </c>
      <c r="B5" s="3" t="s">
        <v>8</v>
      </c>
      <c r="C5" s="3">
        <v>85.211525174273731</v>
      </c>
      <c r="D5" s="3">
        <v>496.84246016198381</v>
      </c>
      <c r="E5" s="3">
        <v>-1.5482028694532981</v>
      </c>
      <c r="F5" s="3">
        <v>49.917155726254677</v>
      </c>
      <c r="G5" s="3">
        <v>-0.74378991274891826</v>
      </c>
      <c r="H5" s="3">
        <v>21.881206229344951</v>
      </c>
    </row>
    <row r="6" spans="1:8" x14ac:dyDescent="0.3">
      <c r="A6" s="3">
        <v>5</v>
      </c>
      <c r="B6" s="3" t="s">
        <v>8</v>
      </c>
      <c r="C6" s="3">
        <v>85.387863205482844</v>
      </c>
      <c r="D6" s="3">
        <v>498.6885214004588</v>
      </c>
      <c r="E6" s="3">
        <v>5.3711560316646842</v>
      </c>
      <c r="F6" s="3">
        <v>48.253851026012768</v>
      </c>
      <c r="G6" s="3">
        <v>3.390719488961941</v>
      </c>
      <c r="H6" s="3">
        <v>23.361065085278319</v>
      </c>
    </row>
    <row r="7" spans="1:8" x14ac:dyDescent="0.3">
      <c r="A7" s="3">
        <v>6</v>
      </c>
      <c r="B7" s="3" t="s">
        <v>8</v>
      </c>
      <c r="C7" s="3">
        <v>90.145194960649846</v>
      </c>
      <c r="D7" s="3">
        <v>500.99353751887702</v>
      </c>
      <c r="E7" s="3">
        <v>2.3677974579246732</v>
      </c>
      <c r="F7" s="3">
        <v>43.126297579145721</v>
      </c>
      <c r="G7" s="3">
        <v>4.7899848993106566</v>
      </c>
      <c r="H7" s="3">
        <v>26.381640657480581</v>
      </c>
    </row>
    <row r="8" spans="1:8" x14ac:dyDescent="0.3">
      <c r="A8" s="3">
        <v>7</v>
      </c>
      <c r="B8" s="3" t="s">
        <v>8</v>
      </c>
      <c r="C8" s="3">
        <v>86.382748617967607</v>
      </c>
      <c r="D8" s="3">
        <v>493.95736850623791</v>
      </c>
      <c r="E8" s="3">
        <v>1.029771223916774</v>
      </c>
      <c r="F8" s="3">
        <v>47.477768704942477</v>
      </c>
      <c r="G8" s="3">
        <v>-1.465328767149618</v>
      </c>
      <c r="H8" s="3">
        <v>21.098343148795159</v>
      </c>
    </row>
    <row r="9" spans="1:8" x14ac:dyDescent="0.3">
      <c r="A9" s="3">
        <v>8</v>
      </c>
      <c r="B9" s="3" t="s">
        <v>8</v>
      </c>
      <c r="C9" s="3">
        <v>81.204816296180397</v>
      </c>
      <c r="D9" s="3">
        <v>500.63594130011688</v>
      </c>
      <c r="E9" s="3">
        <v>-1.2360773779749259</v>
      </c>
      <c r="F9" s="3">
        <v>44.854294941731133</v>
      </c>
      <c r="G9" s="3">
        <v>4.8239851229387929</v>
      </c>
      <c r="H9" s="3">
        <v>17.375655868418939</v>
      </c>
    </row>
    <row r="10" spans="1:8" x14ac:dyDescent="0.3">
      <c r="A10" s="3">
        <v>9</v>
      </c>
      <c r="B10" s="3" t="s">
        <v>8</v>
      </c>
      <c r="C10" s="3">
        <v>82.939441444319428</v>
      </c>
      <c r="D10" s="3">
        <v>503.71002513924969</v>
      </c>
      <c r="E10" s="3">
        <v>2.1007125100611832</v>
      </c>
      <c r="F10" s="3">
        <v>45.903940955155207</v>
      </c>
      <c r="G10" s="3">
        <v>3.1401386362762913E-2</v>
      </c>
      <c r="H10" s="3">
        <v>23.07342458897968</v>
      </c>
    </row>
    <row r="11" spans="1:8" x14ac:dyDescent="0.3">
      <c r="A11" s="3">
        <v>10</v>
      </c>
      <c r="B11" s="3" t="s">
        <v>8</v>
      </c>
      <c r="C11" s="3">
        <v>83.663014089700127</v>
      </c>
      <c r="D11" s="3">
        <v>506.1127220547213</v>
      </c>
      <c r="E11" s="3">
        <v>0.45281659494987547</v>
      </c>
      <c r="F11" s="3">
        <v>45.781084472209677</v>
      </c>
      <c r="G11" s="3">
        <v>2.383060165310904</v>
      </c>
      <c r="H11" s="3">
        <v>22.714276681085931</v>
      </c>
    </row>
    <row r="12" spans="1:8" x14ac:dyDescent="0.3">
      <c r="A12" s="3">
        <v>11</v>
      </c>
      <c r="B12" s="3" t="s">
        <v>8</v>
      </c>
      <c r="C12" s="3">
        <v>88.672245392318388</v>
      </c>
      <c r="D12" s="3">
        <v>503.90352797660182</v>
      </c>
      <c r="E12" s="3">
        <v>1.80890843901649</v>
      </c>
      <c r="F12" s="3">
        <v>52.726349291170173</v>
      </c>
      <c r="G12" s="3">
        <v>2.1055124168663091</v>
      </c>
      <c r="H12" s="3">
        <v>19.28525391229152</v>
      </c>
    </row>
    <row r="13" spans="1:8" x14ac:dyDescent="0.3">
      <c r="A13" s="3">
        <v>12</v>
      </c>
      <c r="B13" s="3" t="s">
        <v>8</v>
      </c>
      <c r="C13" s="3">
        <v>86.079441481172097</v>
      </c>
      <c r="D13" s="3">
        <v>502.27032429138791</v>
      </c>
      <c r="E13" s="3">
        <v>-0.65279996329079237</v>
      </c>
      <c r="F13" s="3">
        <v>41.444133568238328</v>
      </c>
      <c r="G13" s="3">
        <v>0.21841084098539421</v>
      </c>
      <c r="H13" s="3">
        <v>15.32643528838306</v>
      </c>
    </row>
    <row r="14" spans="1:8" x14ac:dyDescent="0.3">
      <c r="A14" s="3">
        <v>13</v>
      </c>
      <c r="B14" s="3" t="s">
        <v>8</v>
      </c>
      <c r="C14" s="3">
        <v>86.20231435178215</v>
      </c>
      <c r="D14" s="3">
        <v>494.81980880265701</v>
      </c>
      <c r="E14" s="3">
        <v>8.0627684488370939</v>
      </c>
      <c r="F14" s="3">
        <v>45.302759577038572</v>
      </c>
      <c r="G14" s="3">
        <v>2.3043086099933552</v>
      </c>
      <c r="H14" s="3">
        <v>22.28392968618174</v>
      </c>
    </row>
    <row r="15" spans="1:8" x14ac:dyDescent="0.3">
      <c r="A15" s="3">
        <v>14</v>
      </c>
      <c r="B15" s="3" t="s">
        <v>8</v>
      </c>
      <c r="C15" s="3">
        <v>85.332048147835366</v>
      </c>
      <c r="D15" s="3">
        <v>498.19547987597957</v>
      </c>
      <c r="E15" s="3">
        <v>2.9519924183760931</v>
      </c>
      <c r="F15" s="3">
        <v>39.660068136097152</v>
      </c>
      <c r="G15" s="3">
        <v>-2.1912927762715131</v>
      </c>
      <c r="H15" s="3">
        <v>23.387433186924881</v>
      </c>
    </row>
    <row r="16" spans="1:8" x14ac:dyDescent="0.3">
      <c r="A16" s="3">
        <v>15</v>
      </c>
      <c r="B16" s="3" t="s">
        <v>8</v>
      </c>
      <c r="C16" s="3">
        <v>83.332476595737774</v>
      </c>
      <c r="D16" s="3">
        <v>498.94386063025217</v>
      </c>
      <c r="E16" s="3">
        <v>6.224835231817158</v>
      </c>
      <c r="F16" s="3">
        <v>46.769507768876267</v>
      </c>
      <c r="G16" s="3">
        <v>1.0915893834451069</v>
      </c>
      <c r="H16" s="3">
        <v>19.114676507882201</v>
      </c>
    </row>
    <row r="17" spans="1:8" x14ac:dyDescent="0.3">
      <c r="A17" s="3">
        <v>16</v>
      </c>
      <c r="B17" s="3" t="s">
        <v>8</v>
      </c>
      <c r="C17" s="3">
        <v>90.360739410409238</v>
      </c>
      <c r="D17" s="3">
        <v>502.1105717082707</v>
      </c>
      <c r="E17" s="3">
        <v>-4.8050990107729561</v>
      </c>
      <c r="F17" s="3">
        <v>48.289825415164223</v>
      </c>
      <c r="G17" s="3">
        <v>3.977372494995512</v>
      </c>
      <c r="H17" s="3">
        <v>21.608728455074079</v>
      </c>
    </row>
    <row r="18" spans="1:8" x14ac:dyDescent="0.3">
      <c r="A18" s="3">
        <v>17</v>
      </c>
      <c r="B18" s="3" t="s">
        <v>8</v>
      </c>
      <c r="C18" s="3">
        <v>86.493551434687717</v>
      </c>
      <c r="D18" s="3">
        <v>499.68298599798868</v>
      </c>
      <c r="E18" s="3">
        <v>1.6404065100154881</v>
      </c>
      <c r="F18" s="3">
        <v>49.336986723303461</v>
      </c>
      <c r="G18" s="3">
        <v>-5.0223739476879414</v>
      </c>
      <c r="H18" s="3">
        <v>19.17232857574847</v>
      </c>
    </row>
    <row r="19" spans="1:8" x14ac:dyDescent="0.3">
      <c r="A19" s="3">
        <v>18</v>
      </c>
      <c r="B19" s="3" t="s">
        <v>8</v>
      </c>
      <c r="C19" s="3">
        <v>79.100148530111085</v>
      </c>
      <c r="D19" s="3">
        <v>496.22405411581951</v>
      </c>
      <c r="E19" s="3">
        <v>0.97355312522378634</v>
      </c>
      <c r="F19" s="3">
        <v>39.22456424448864</v>
      </c>
      <c r="G19" s="3">
        <v>-2.9637785620747641</v>
      </c>
      <c r="H19" s="3">
        <v>22.046945735412539</v>
      </c>
    </row>
    <row r="20" spans="1:8" x14ac:dyDescent="0.3">
      <c r="A20" s="3">
        <v>19</v>
      </c>
      <c r="B20" s="3" t="s">
        <v>8</v>
      </c>
      <c r="C20" s="3">
        <v>87.104067704691062</v>
      </c>
      <c r="D20" s="3">
        <v>505.05330712428241</v>
      </c>
      <c r="E20" s="3">
        <v>-0.66877853809773935</v>
      </c>
      <c r="F20" s="3">
        <v>46.238308491582089</v>
      </c>
      <c r="G20" s="3">
        <v>-1.9858126727909171</v>
      </c>
      <c r="H20" s="3">
        <v>19.648127855855449</v>
      </c>
    </row>
    <row r="21" spans="1:8" x14ac:dyDescent="0.3">
      <c r="A21" s="3">
        <v>20</v>
      </c>
      <c r="B21" s="3" t="s">
        <v>8</v>
      </c>
      <c r="C21" s="3">
        <v>83.581625776816196</v>
      </c>
      <c r="D21" s="3">
        <v>502.73417387538791</v>
      </c>
      <c r="E21" s="3">
        <v>7.6398274626722849</v>
      </c>
      <c r="F21" s="3">
        <v>49.780109854150957</v>
      </c>
      <c r="G21" s="3">
        <v>-3.26726908243629</v>
      </c>
      <c r="H21" s="3">
        <v>18.965972408239811</v>
      </c>
    </row>
    <row r="22" spans="1:8" x14ac:dyDescent="0.3">
      <c r="A22" s="3">
        <v>21</v>
      </c>
      <c r="B22" s="3" t="s">
        <v>8</v>
      </c>
      <c r="C22" s="3">
        <v>81.796528882039468</v>
      </c>
      <c r="D22" s="3">
        <v>500.7122908174731</v>
      </c>
      <c r="E22" s="3">
        <v>-1.24584575930847</v>
      </c>
      <c r="F22" s="3">
        <v>43.757952410873088</v>
      </c>
      <c r="G22" s="3">
        <v>2.7587491178890771</v>
      </c>
      <c r="H22" s="3">
        <v>20.334861494591632</v>
      </c>
    </row>
    <row r="23" spans="1:8" x14ac:dyDescent="0.3">
      <c r="A23" s="3">
        <v>22</v>
      </c>
      <c r="B23" s="3" t="s">
        <v>8</v>
      </c>
      <c r="C23" s="3">
        <v>84.346075256025117</v>
      </c>
      <c r="D23" s="3">
        <v>503.65432583097743</v>
      </c>
      <c r="E23" s="3">
        <v>3.9551707812240759</v>
      </c>
      <c r="F23" s="3">
        <v>44.363548403754152</v>
      </c>
      <c r="G23" s="3">
        <v>-1.4787850492680319</v>
      </c>
      <c r="H23" s="3">
        <v>19.149784055053111</v>
      </c>
    </row>
    <row r="24" spans="1:8" x14ac:dyDescent="0.3">
      <c r="A24" s="3">
        <v>23</v>
      </c>
      <c r="B24" s="3" t="s">
        <v>8</v>
      </c>
      <c r="C24" s="3">
        <v>81.921986655078285</v>
      </c>
      <c r="D24" s="3">
        <v>495.98367713829509</v>
      </c>
      <c r="E24" s="3">
        <v>5.5393088567390762</v>
      </c>
      <c r="F24" s="3">
        <v>44.890388333385779</v>
      </c>
      <c r="G24" s="3">
        <v>-4.993641255986919</v>
      </c>
      <c r="H24" s="3">
        <v>18.22694850663715</v>
      </c>
    </row>
    <row r="25" spans="1:8" x14ac:dyDescent="0.3">
      <c r="A25" s="3">
        <v>24</v>
      </c>
      <c r="B25" s="3" t="s">
        <v>8</v>
      </c>
      <c r="C25" s="3">
        <v>82.813326312126577</v>
      </c>
      <c r="D25" s="3">
        <v>501.98246089336942</v>
      </c>
      <c r="E25" s="3">
        <v>3.5345705652540689</v>
      </c>
      <c r="F25" s="3">
        <v>46.095056254299109</v>
      </c>
      <c r="G25" s="3">
        <v>-0.41270629524134922</v>
      </c>
      <c r="H25" s="3">
        <v>19.052189206272811</v>
      </c>
    </row>
    <row r="26" spans="1:8" x14ac:dyDescent="0.3">
      <c r="A26" s="3">
        <v>25</v>
      </c>
      <c r="B26" s="3" t="s">
        <v>8</v>
      </c>
      <c r="C26" s="3">
        <v>83.124882196452234</v>
      </c>
      <c r="D26" s="3">
        <v>498.43126287105969</v>
      </c>
      <c r="E26" s="3">
        <v>0.37423356751345338</v>
      </c>
      <c r="F26" s="3">
        <v>46.995479627237913</v>
      </c>
      <c r="G26" s="3">
        <v>0.32809424557558242</v>
      </c>
      <c r="H26" s="3">
        <v>19.975543543023399</v>
      </c>
    </row>
    <row r="27" spans="1:8" x14ac:dyDescent="0.3">
      <c r="A27" s="3">
        <v>26</v>
      </c>
      <c r="B27" s="3" t="s">
        <v>8</v>
      </c>
      <c r="C27" s="3">
        <v>79.939920067772761</v>
      </c>
      <c r="D27" s="3">
        <v>502.05123656555207</v>
      </c>
      <c r="E27" s="3">
        <v>5.8234974201725009</v>
      </c>
      <c r="F27" s="3">
        <v>48.953462651134437</v>
      </c>
      <c r="G27" s="3">
        <v>4.0703564213343304</v>
      </c>
      <c r="H27" s="3">
        <v>20.622485422155421</v>
      </c>
    </row>
    <row r="28" spans="1:8" x14ac:dyDescent="0.3">
      <c r="A28" s="3">
        <v>27</v>
      </c>
      <c r="B28" s="3" t="s">
        <v>8</v>
      </c>
      <c r="C28" s="3">
        <v>87.513361133483571</v>
      </c>
      <c r="D28" s="3">
        <v>499.81753413601979</v>
      </c>
      <c r="E28" s="3">
        <v>3.5117642455225142</v>
      </c>
      <c r="F28" s="3">
        <v>44.713537228665032</v>
      </c>
      <c r="G28" s="3">
        <v>-1.811256407996487</v>
      </c>
      <c r="H28" s="3">
        <v>24.597270864877519</v>
      </c>
    </row>
    <row r="29" spans="1:8" x14ac:dyDescent="0.3">
      <c r="A29" s="3">
        <v>28</v>
      </c>
      <c r="B29" s="3" t="s">
        <v>8</v>
      </c>
      <c r="C29" s="3">
        <v>85.46011935350954</v>
      </c>
      <c r="D29" s="3">
        <v>501.89888213909433</v>
      </c>
      <c r="E29" s="3">
        <v>-0.1904937191461302</v>
      </c>
      <c r="F29" s="3">
        <v>45.588834136417397</v>
      </c>
      <c r="G29" s="3">
        <v>4.9838677672160863</v>
      </c>
      <c r="H29" s="3">
        <v>15.926006507139549</v>
      </c>
    </row>
    <row r="30" spans="1:8" x14ac:dyDescent="0.3">
      <c r="A30" s="3">
        <v>29</v>
      </c>
      <c r="B30" s="3" t="s">
        <v>8</v>
      </c>
      <c r="C30" s="3">
        <v>81.58558918896415</v>
      </c>
      <c r="D30" s="3">
        <v>504.00655284517819</v>
      </c>
      <c r="E30" s="3">
        <v>-1.164147142806184</v>
      </c>
      <c r="F30" s="3">
        <v>52.463993631664387</v>
      </c>
      <c r="G30" s="3">
        <v>2.6950881468858152</v>
      </c>
      <c r="H30" s="3">
        <v>19.40114284834117</v>
      </c>
    </row>
    <row r="31" spans="1:8" x14ac:dyDescent="0.3">
      <c r="A31" s="3">
        <v>30</v>
      </c>
      <c r="B31" s="3" t="s">
        <v>8</v>
      </c>
      <c r="C31" s="3">
        <v>88.761444763209781</v>
      </c>
      <c r="D31" s="3">
        <v>500.02187027095073</v>
      </c>
      <c r="E31" s="3">
        <v>9.2601523034794404</v>
      </c>
      <c r="F31" s="3">
        <v>46.293296784344967</v>
      </c>
      <c r="G31" s="3">
        <v>2.5870564729066339</v>
      </c>
      <c r="H31" s="3">
        <v>21.894569383342478</v>
      </c>
    </row>
    <row r="32" spans="1:8" x14ac:dyDescent="0.3">
      <c r="A32" s="3">
        <v>31</v>
      </c>
      <c r="B32" s="3" t="s">
        <v>8</v>
      </c>
      <c r="C32" s="3">
        <v>86.279392664430446</v>
      </c>
      <c r="D32" s="3">
        <v>503.05267591085629</v>
      </c>
      <c r="E32" s="3">
        <v>0.96449056374468878</v>
      </c>
      <c r="F32" s="3">
        <v>45.566259327989499</v>
      </c>
      <c r="G32" s="3">
        <v>-1.057577010943507</v>
      </c>
      <c r="H32" s="3">
        <v>25.286062710328601</v>
      </c>
    </row>
    <row r="33" spans="1:8" x14ac:dyDescent="0.3">
      <c r="A33" s="3">
        <v>32</v>
      </c>
      <c r="B33" s="3" t="s">
        <v>8</v>
      </c>
      <c r="C33" s="3">
        <v>84.114785551023189</v>
      </c>
      <c r="D33" s="3">
        <v>496.43469789455611</v>
      </c>
      <c r="E33" s="3">
        <v>-2.5667149617541209</v>
      </c>
      <c r="F33" s="3">
        <v>40.973270624149663</v>
      </c>
      <c r="G33" s="3">
        <v>7.3610036396941139</v>
      </c>
      <c r="H33" s="3">
        <v>21.278043087846481</v>
      </c>
    </row>
    <row r="34" spans="1:8" x14ac:dyDescent="0.3">
      <c r="A34" s="3">
        <v>33</v>
      </c>
      <c r="B34" s="3" t="s">
        <v>8</v>
      </c>
      <c r="C34" s="3">
        <v>87.685376983135072</v>
      </c>
      <c r="D34" s="3">
        <v>497.83518667869203</v>
      </c>
      <c r="E34" s="3">
        <v>4.5997780882609556</v>
      </c>
      <c r="F34" s="3">
        <v>45.008568142866679</v>
      </c>
      <c r="G34" s="3">
        <v>1.007187503708534</v>
      </c>
      <c r="H34" s="3">
        <v>19.958739750573798</v>
      </c>
    </row>
    <row r="35" spans="1:8" x14ac:dyDescent="0.3">
      <c r="A35" s="3">
        <v>34</v>
      </c>
      <c r="B35" s="3" t="s">
        <v>8</v>
      </c>
      <c r="C35" s="3">
        <v>87.634400462599132</v>
      </c>
      <c r="D35" s="3">
        <v>504.55765313416452</v>
      </c>
      <c r="E35" s="3">
        <v>3.930690768182687</v>
      </c>
      <c r="F35" s="3">
        <v>44.33602154049936</v>
      </c>
      <c r="G35" s="3">
        <v>-3.9746927525350002</v>
      </c>
      <c r="H35" s="3">
        <v>19.077329271210921</v>
      </c>
    </row>
    <row r="36" spans="1:8" x14ac:dyDescent="0.3">
      <c r="A36" s="3">
        <v>35</v>
      </c>
      <c r="B36" s="3" t="s">
        <v>8</v>
      </c>
      <c r="C36" s="3">
        <v>87.464743244912455</v>
      </c>
      <c r="D36" s="3">
        <v>501.13216391907179</v>
      </c>
      <c r="E36" s="3">
        <v>-1.0615030071677951</v>
      </c>
      <c r="F36" s="3">
        <v>44.966862510571879</v>
      </c>
      <c r="G36" s="3">
        <v>0.88843058582251211</v>
      </c>
      <c r="H36" s="3">
        <v>21.242924492324871</v>
      </c>
    </row>
    <row r="37" spans="1:8" x14ac:dyDescent="0.3">
      <c r="A37" s="3">
        <v>36</v>
      </c>
      <c r="B37" s="3" t="s">
        <v>8</v>
      </c>
      <c r="C37" s="3">
        <v>87.065920762300266</v>
      </c>
      <c r="D37" s="3">
        <v>493.84333153869881</v>
      </c>
      <c r="E37" s="3">
        <v>-2.8288692407458509</v>
      </c>
      <c r="F37" s="3">
        <v>43.273747076186503</v>
      </c>
      <c r="G37" s="3">
        <v>-4.3033322121961524</v>
      </c>
      <c r="H37" s="3">
        <v>22.967173760589169</v>
      </c>
    </row>
    <row r="38" spans="1:8" x14ac:dyDescent="0.3">
      <c r="A38" s="3">
        <v>37</v>
      </c>
      <c r="B38" s="3" t="s">
        <v>8</v>
      </c>
      <c r="C38" s="3">
        <v>86.661752960612773</v>
      </c>
      <c r="D38" s="3">
        <v>495.90788764375287</v>
      </c>
      <c r="E38" s="3">
        <v>2.6510924485241829</v>
      </c>
      <c r="F38" s="3">
        <v>42.939553042671903</v>
      </c>
      <c r="G38" s="3">
        <v>0.56846965263997951</v>
      </c>
      <c r="H38" s="3">
        <v>19.448425068361839</v>
      </c>
    </row>
    <row r="39" spans="1:8" x14ac:dyDescent="0.3">
      <c r="A39" s="3">
        <v>38</v>
      </c>
      <c r="B39" s="3" t="s">
        <v>8</v>
      </c>
      <c r="C39" s="3">
        <v>84.814264868269831</v>
      </c>
      <c r="D39" s="3">
        <v>499.39765695323263</v>
      </c>
      <c r="E39" s="3">
        <v>6.4181888751282674</v>
      </c>
      <c r="F39" s="3">
        <v>42.837679104539632</v>
      </c>
      <c r="G39" s="3">
        <v>0.23331899043114371</v>
      </c>
      <c r="H39" s="3">
        <v>20.491284220539669</v>
      </c>
    </row>
    <row r="40" spans="1:8" x14ac:dyDescent="0.3">
      <c r="A40" s="3">
        <v>39</v>
      </c>
      <c r="B40" s="3" t="s">
        <v>8</v>
      </c>
      <c r="C40" s="3">
        <v>84.082112008780243</v>
      </c>
      <c r="D40" s="3">
        <v>502.59733821300352</v>
      </c>
      <c r="E40" s="3">
        <v>4.9083721055464462</v>
      </c>
      <c r="F40" s="3">
        <v>44.356486453800677</v>
      </c>
      <c r="G40" s="3">
        <v>3.54548907121023</v>
      </c>
      <c r="H40" s="3">
        <v>20.650809032433148</v>
      </c>
    </row>
    <row r="41" spans="1:8" x14ac:dyDescent="0.3">
      <c r="A41" s="3">
        <v>40</v>
      </c>
      <c r="B41" s="3" t="s">
        <v>8</v>
      </c>
      <c r="C41" s="3">
        <v>83.858586996962856</v>
      </c>
      <c r="D41" s="3">
        <v>499.69435023285428</v>
      </c>
      <c r="E41" s="3">
        <v>1.5211877275140679</v>
      </c>
      <c r="F41" s="3">
        <v>49.104397944085882</v>
      </c>
      <c r="G41" s="3">
        <v>4.5284885572124729</v>
      </c>
      <c r="H41" s="3">
        <v>22.187832902628969</v>
      </c>
    </row>
    <row r="42" spans="1:8" x14ac:dyDescent="0.3">
      <c r="A42" s="3">
        <v>41</v>
      </c>
      <c r="B42" s="3" t="s">
        <v>8</v>
      </c>
      <c r="C42" s="3">
        <v>82.915879063238464</v>
      </c>
      <c r="D42" s="3">
        <v>501.87256241606201</v>
      </c>
      <c r="E42" s="3">
        <v>0.49743530524686719</v>
      </c>
      <c r="F42" s="3">
        <v>48.147259879677982</v>
      </c>
      <c r="G42" s="3">
        <v>-0.67831489470346362</v>
      </c>
      <c r="H42" s="3">
        <v>23.33414122107407</v>
      </c>
    </row>
    <row r="43" spans="1:8" x14ac:dyDescent="0.3">
      <c r="A43" s="3">
        <v>42</v>
      </c>
      <c r="B43" s="3" t="s">
        <v>8</v>
      </c>
      <c r="C43" s="3">
        <v>84.376248165941206</v>
      </c>
      <c r="D43" s="3">
        <v>502.8770161333635</v>
      </c>
      <c r="E43" s="3">
        <v>3.813200270251635</v>
      </c>
      <c r="F43" s="3">
        <v>43.920074646170832</v>
      </c>
      <c r="G43" s="3">
        <v>3.9183266051250771</v>
      </c>
      <c r="H43" s="3">
        <v>20.837482450818889</v>
      </c>
    </row>
    <row r="44" spans="1:8" x14ac:dyDescent="0.3">
      <c r="A44" s="3">
        <v>43</v>
      </c>
      <c r="B44" s="3" t="s">
        <v>8</v>
      </c>
      <c r="C44" s="3">
        <v>81.203810945295203</v>
      </c>
      <c r="D44" s="3">
        <v>505.01316448658878</v>
      </c>
      <c r="E44" s="3">
        <v>3.472060041648473</v>
      </c>
      <c r="F44" s="3">
        <v>39.942250636383783</v>
      </c>
      <c r="G44" s="3">
        <v>5.7729693290062896</v>
      </c>
      <c r="H44" s="3">
        <v>19.771487985358458</v>
      </c>
    </row>
    <row r="45" spans="1:8" x14ac:dyDescent="0.3">
      <c r="A45" s="3">
        <v>44</v>
      </c>
      <c r="B45" s="3" t="s">
        <v>8</v>
      </c>
      <c r="C45" s="3">
        <v>91.506867896015535</v>
      </c>
      <c r="D45" s="3">
        <v>500.1680501998249</v>
      </c>
      <c r="E45" s="3">
        <v>4.8891352400781836</v>
      </c>
      <c r="F45" s="3">
        <v>42.466249714392141</v>
      </c>
      <c r="G45" s="3">
        <v>-0.85243201452793871</v>
      </c>
      <c r="H45" s="3">
        <v>24.18398939662573</v>
      </c>
    </row>
    <row r="46" spans="1:8" x14ac:dyDescent="0.3">
      <c r="A46" s="3">
        <v>45</v>
      </c>
      <c r="B46" s="3" t="s">
        <v>8</v>
      </c>
      <c r="C46" s="3">
        <v>88.623885994914971</v>
      </c>
      <c r="D46" s="3">
        <v>499.84405428145732</v>
      </c>
      <c r="E46" s="3">
        <v>1.812606149133311</v>
      </c>
      <c r="F46" s="3">
        <v>43.626718400278477</v>
      </c>
      <c r="G46" s="3">
        <v>-0.45721309949799771</v>
      </c>
      <c r="H46" s="3">
        <v>20.493602352816751</v>
      </c>
    </row>
    <row r="47" spans="1:8" x14ac:dyDescent="0.3">
      <c r="A47" s="3">
        <v>46</v>
      </c>
      <c r="B47" s="3" t="s">
        <v>8</v>
      </c>
      <c r="C47" s="3">
        <v>81.630674250389959</v>
      </c>
      <c r="D47" s="3">
        <v>494.7402879225732</v>
      </c>
      <c r="E47" s="3">
        <v>5.6980621596092984</v>
      </c>
      <c r="F47" s="3">
        <v>45.310914012684911</v>
      </c>
      <c r="G47" s="3">
        <v>3.4523350894610458</v>
      </c>
      <c r="H47" s="3">
        <v>24.733555936380441</v>
      </c>
    </row>
    <row r="48" spans="1:8" x14ac:dyDescent="0.3">
      <c r="A48" s="3">
        <v>47</v>
      </c>
      <c r="B48" s="3" t="s">
        <v>8</v>
      </c>
      <c r="C48" s="3">
        <v>83.791345494102771</v>
      </c>
      <c r="D48" s="3">
        <v>500.29798278226349</v>
      </c>
      <c r="E48" s="3">
        <v>0.50756541799125454</v>
      </c>
      <c r="F48" s="3">
        <v>43.012178172897563</v>
      </c>
      <c r="G48" s="3">
        <v>2.0491439098318058</v>
      </c>
      <c r="H48" s="3">
        <v>19.814232027141351</v>
      </c>
    </row>
    <row r="49" spans="1:8" x14ac:dyDescent="0.3">
      <c r="A49" s="3">
        <v>48</v>
      </c>
      <c r="B49" s="3" t="s">
        <v>8</v>
      </c>
      <c r="C49" s="3">
        <v>83.600033939130341</v>
      </c>
      <c r="D49" s="3">
        <v>498.28444982631328</v>
      </c>
      <c r="E49" s="3">
        <v>2.0083658996401099</v>
      </c>
      <c r="F49" s="3">
        <v>51.02004207249567</v>
      </c>
      <c r="G49" s="3">
        <v>3.1463248813328502</v>
      </c>
      <c r="H49" s="3">
        <v>21.841768892581062</v>
      </c>
    </row>
    <row r="50" spans="1:8" x14ac:dyDescent="0.3">
      <c r="A50" s="3">
        <v>49</v>
      </c>
      <c r="B50" s="3" t="s">
        <v>8</v>
      </c>
      <c r="C50" s="3">
        <v>87.339895355008949</v>
      </c>
      <c r="D50" s="3">
        <v>497.07797125158771</v>
      </c>
      <c r="E50" s="3">
        <v>5.2224435711777133</v>
      </c>
      <c r="F50" s="3">
        <v>44.183197396744937</v>
      </c>
      <c r="G50" s="3">
        <v>5.7140528836426867</v>
      </c>
      <c r="H50" s="3">
        <v>15.36173421726428</v>
      </c>
    </row>
    <row r="51" spans="1:8" x14ac:dyDescent="0.3">
      <c r="A51" s="3">
        <v>50</v>
      </c>
      <c r="B51" s="3" t="s">
        <v>8</v>
      </c>
      <c r="C51" s="3">
        <v>84.749892800584519</v>
      </c>
      <c r="D51" s="3">
        <v>499.46028130685738</v>
      </c>
      <c r="E51" s="3">
        <v>5.9699148258813377</v>
      </c>
      <c r="F51" s="3">
        <v>41.358166589281467</v>
      </c>
      <c r="G51" s="3">
        <v>2.6612493587291861</v>
      </c>
      <c r="H51" s="3">
        <v>19.662824115987782</v>
      </c>
    </row>
    <row r="52" spans="1:8" x14ac:dyDescent="0.3">
      <c r="A52" s="3">
        <v>51</v>
      </c>
      <c r="B52" s="3" t="s">
        <v>8</v>
      </c>
      <c r="C52" s="3">
        <v>85.759955541984269</v>
      </c>
      <c r="D52" s="3">
        <v>503.04482951823098</v>
      </c>
      <c r="E52" s="3">
        <v>-2.815514104360139</v>
      </c>
      <c r="F52" s="3">
        <v>44.576214728152458</v>
      </c>
      <c r="G52" s="3">
        <v>4.6551038105261204</v>
      </c>
      <c r="H52" s="3">
        <v>19.93461638011734</v>
      </c>
    </row>
    <row r="53" spans="1:8" x14ac:dyDescent="0.3">
      <c r="A53" s="3">
        <v>52</v>
      </c>
      <c r="B53" s="3" t="s">
        <v>8</v>
      </c>
      <c r="C53" s="3">
        <v>84.914359733953887</v>
      </c>
      <c r="D53" s="3">
        <v>494.02175453393431</v>
      </c>
      <c r="E53" s="3">
        <v>3.3215712210484591</v>
      </c>
      <c r="F53" s="3">
        <v>41.983867255219756</v>
      </c>
      <c r="G53" s="3">
        <v>3.3687163870115828</v>
      </c>
      <c r="H53" s="3">
        <v>17.724963747750358</v>
      </c>
    </row>
    <row r="54" spans="1:8" x14ac:dyDescent="0.3">
      <c r="A54" s="3">
        <v>53</v>
      </c>
      <c r="B54" s="3" t="s">
        <v>8</v>
      </c>
      <c r="C54" s="3">
        <v>84.871388628126056</v>
      </c>
      <c r="D54" s="3">
        <v>498.71816213838372</v>
      </c>
      <c r="E54" s="3">
        <v>4.8263370352038901</v>
      </c>
      <c r="F54" s="3">
        <v>45.468467121825981</v>
      </c>
      <c r="G54" s="3">
        <v>2.8008611694265642</v>
      </c>
      <c r="H54" s="3">
        <v>16.892321346733102</v>
      </c>
    </row>
    <row r="55" spans="1:8" x14ac:dyDescent="0.3">
      <c r="A55" s="3">
        <v>54</v>
      </c>
      <c r="B55" s="3" t="s">
        <v>8</v>
      </c>
      <c r="C55" s="3">
        <v>89.105806852043372</v>
      </c>
      <c r="D55" s="3">
        <v>500.34991185074807</v>
      </c>
      <c r="E55" s="3">
        <v>-1.352472940471894</v>
      </c>
      <c r="F55" s="3">
        <v>45.700900842269611</v>
      </c>
      <c r="G55" s="3">
        <v>2.6582533145532361</v>
      </c>
      <c r="H55" s="3">
        <v>22.844477907655431</v>
      </c>
    </row>
    <row r="56" spans="1:8" x14ac:dyDescent="0.3">
      <c r="A56" s="3">
        <v>55</v>
      </c>
      <c r="B56" s="3" t="s">
        <v>8</v>
      </c>
      <c r="C56" s="3">
        <v>84.322687043022199</v>
      </c>
      <c r="D56" s="3">
        <v>497.32037728983522</v>
      </c>
      <c r="E56" s="3">
        <v>4.4418767996256516</v>
      </c>
      <c r="F56" s="3">
        <v>46.066762834885147</v>
      </c>
      <c r="G56" s="3">
        <v>5.3739699133742391</v>
      </c>
      <c r="H56" s="3">
        <v>22.742476201783159</v>
      </c>
    </row>
    <row r="57" spans="1:8" x14ac:dyDescent="0.3">
      <c r="A57" s="3">
        <v>56</v>
      </c>
      <c r="B57" s="3" t="s">
        <v>8</v>
      </c>
      <c r="C57" s="3">
        <v>89.549411813288614</v>
      </c>
      <c r="D57" s="3">
        <v>501.00170882749768</v>
      </c>
      <c r="E57" s="3">
        <v>0.51547718880960902</v>
      </c>
      <c r="F57" s="3">
        <v>40.134425222627357</v>
      </c>
      <c r="G57" s="3">
        <v>-1.506779621131964</v>
      </c>
      <c r="H57" s="3">
        <v>16.103804015460621</v>
      </c>
    </row>
    <row r="58" spans="1:8" x14ac:dyDescent="0.3">
      <c r="A58" s="3">
        <v>57</v>
      </c>
      <c r="B58" s="3" t="s">
        <v>8</v>
      </c>
      <c r="C58" s="3">
        <v>80.353741587309344</v>
      </c>
      <c r="D58" s="3">
        <v>501.23428976184721</v>
      </c>
      <c r="E58" s="3">
        <v>6.0607590364932884</v>
      </c>
      <c r="F58" s="3">
        <v>45.662133872911937</v>
      </c>
      <c r="G58" s="3">
        <v>-1.815548187472483</v>
      </c>
      <c r="H58" s="3">
        <v>21.273136384803031</v>
      </c>
    </row>
    <row r="59" spans="1:8" x14ac:dyDescent="0.3">
      <c r="A59" s="3">
        <v>58</v>
      </c>
      <c r="B59" s="3" t="s">
        <v>8</v>
      </c>
      <c r="C59" s="3">
        <v>86.753841248908202</v>
      </c>
      <c r="D59" s="3">
        <v>499.900891522172</v>
      </c>
      <c r="E59" s="3">
        <v>4.6154460963079229</v>
      </c>
      <c r="F59" s="3">
        <v>45.931350241624941</v>
      </c>
      <c r="G59" s="3">
        <v>3.2758380101916269</v>
      </c>
      <c r="H59" s="3">
        <v>16.66236404013474</v>
      </c>
    </row>
    <row r="60" spans="1:8" x14ac:dyDescent="0.3">
      <c r="A60" s="3">
        <v>59</v>
      </c>
      <c r="B60" s="3" t="s">
        <v>8</v>
      </c>
      <c r="C60" s="3">
        <v>85.371562731533842</v>
      </c>
      <c r="D60" s="3">
        <v>492.60230541871988</v>
      </c>
      <c r="E60" s="3">
        <v>5.3071568849868278</v>
      </c>
      <c r="F60" s="3">
        <v>40.736674657486539</v>
      </c>
      <c r="G60" s="3">
        <v>1.140931007600658</v>
      </c>
      <c r="H60" s="3">
        <v>16.846780321455331</v>
      </c>
    </row>
    <row r="61" spans="1:8" x14ac:dyDescent="0.3">
      <c r="A61" s="3">
        <v>60</v>
      </c>
      <c r="B61" s="3" t="s">
        <v>8</v>
      </c>
      <c r="C61" s="3">
        <v>85.647824706231916</v>
      </c>
      <c r="D61" s="3">
        <v>507.71437443759987</v>
      </c>
      <c r="E61" s="3">
        <v>3.362157987861103</v>
      </c>
      <c r="F61" s="3">
        <v>47.866096919191243</v>
      </c>
      <c r="G61" s="3">
        <v>1.722015635054881</v>
      </c>
      <c r="H61" s="3">
        <v>21.576237344799068</v>
      </c>
    </row>
    <row r="62" spans="1:8" x14ac:dyDescent="0.3">
      <c r="A62" s="3">
        <v>61</v>
      </c>
      <c r="B62" s="3" t="s">
        <v>8</v>
      </c>
      <c r="C62" s="3">
        <v>86.13891844827964</v>
      </c>
      <c r="D62" s="3">
        <v>499.38410222759541</v>
      </c>
      <c r="E62" s="3">
        <v>5.5909453024732603</v>
      </c>
      <c r="F62" s="3">
        <v>47.352512637283013</v>
      </c>
      <c r="G62" s="3">
        <v>3.7238321315141971</v>
      </c>
      <c r="H62" s="3">
        <v>17.941927999720839</v>
      </c>
    </row>
    <row r="63" spans="1:8" x14ac:dyDescent="0.3">
      <c r="A63" s="3">
        <v>62</v>
      </c>
      <c r="B63" s="3" t="s">
        <v>8</v>
      </c>
      <c r="C63" s="3">
        <v>83.493029640672091</v>
      </c>
      <c r="D63" s="3">
        <v>501.953579844763</v>
      </c>
      <c r="E63" s="3">
        <v>7.1415435849436131</v>
      </c>
      <c r="F63" s="3">
        <v>51.898858083463338</v>
      </c>
      <c r="G63" s="3">
        <v>3.7598851435472289</v>
      </c>
      <c r="H63" s="3">
        <v>22.980439946366641</v>
      </c>
    </row>
    <row r="64" spans="1:8" x14ac:dyDescent="0.3">
      <c r="A64" s="3">
        <v>63</v>
      </c>
      <c r="B64" s="3" t="s">
        <v>8</v>
      </c>
      <c r="C64" s="3">
        <v>84.000377848991747</v>
      </c>
      <c r="D64" s="3">
        <v>500.82129947310972</v>
      </c>
      <c r="E64" s="3">
        <v>8.8987440463669003</v>
      </c>
      <c r="F64" s="3">
        <v>45.470108962127178</v>
      </c>
      <c r="G64" s="3">
        <v>0.71198848991466701</v>
      </c>
      <c r="H64" s="3">
        <v>20.115570797226042</v>
      </c>
    </row>
    <row r="65" spans="1:8" x14ac:dyDescent="0.3">
      <c r="A65" s="3">
        <v>64</v>
      </c>
      <c r="B65" s="3" t="s">
        <v>8</v>
      </c>
      <c r="C65" s="3">
        <v>81.944273850678741</v>
      </c>
      <c r="D65" s="3">
        <v>503.07401970445511</v>
      </c>
      <c r="E65" s="3">
        <v>2.914814835752805</v>
      </c>
      <c r="F65" s="3">
        <v>45.140200582554002</v>
      </c>
      <c r="G65" s="3">
        <v>0.56236839300869279</v>
      </c>
      <c r="H65" s="3">
        <v>21.608446927357171</v>
      </c>
    </row>
    <row r="66" spans="1:8" x14ac:dyDescent="0.3">
      <c r="A66" s="3">
        <v>65</v>
      </c>
      <c r="B66" s="3" t="s">
        <v>8</v>
      </c>
      <c r="C66" s="3">
        <v>81.784626320573267</v>
      </c>
      <c r="D66" s="3">
        <v>502.45297833912218</v>
      </c>
      <c r="E66" s="3">
        <v>-3.7471532709972148</v>
      </c>
      <c r="F66" s="3">
        <v>45.289757502247312</v>
      </c>
      <c r="G66" s="3">
        <v>1.7207958270236079</v>
      </c>
      <c r="H66" s="3">
        <v>18.429119906341519</v>
      </c>
    </row>
    <row r="67" spans="1:8" x14ac:dyDescent="0.3">
      <c r="A67" s="3">
        <v>66</v>
      </c>
      <c r="B67" s="3" t="s">
        <v>8</v>
      </c>
      <c r="C67" s="3">
        <v>85.910585924212768</v>
      </c>
      <c r="D67" s="3">
        <v>499.37062048631452</v>
      </c>
      <c r="E67" s="3">
        <v>3.0945780137819749</v>
      </c>
      <c r="F67" s="3">
        <v>45.209298692700912</v>
      </c>
      <c r="G67" s="3">
        <v>4.6890533678842328</v>
      </c>
      <c r="H67" s="3">
        <v>16.546335995169219</v>
      </c>
    </row>
    <row r="68" spans="1:8" x14ac:dyDescent="0.3">
      <c r="A68" s="3">
        <v>67</v>
      </c>
      <c r="B68" s="3" t="s">
        <v>8</v>
      </c>
      <c r="C68" s="3">
        <v>86.344629335888285</v>
      </c>
      <c r="D68" s="3">
        <v>501.13450331662551</v>
      </c>
      <c r="E68" s="3">
        <v>3.6166836253499239</v>
      </c>
      <c r="F68" s="3">
        <v>39.454581673987001</v>
      </c>
      <c r="G68" s="3">
        <v>2.778061460037013</v>
      </c>
      <c r="H68" s="3">
        <v>22.74425672300827</v>
      </c>
    </row>
    <row r="69" spans="1:8" x14ac:dyDescent="0.3">
      <c r="A69" s="3">
        <v>68</v>
      </c>
      <c r="B69" s="3" t="s">
        <v>8</v>
      </c>
      <c r="C69" s="3">
        <v>85.159012680191509</v>
      </c>
      <c r="D69" s="3">
        <v>497.16377350662827</v>
      </c>
      <c r="E69" s="3">
        <v>2.533963958566805</v>
      </c>
      <c r="F69" s="3">
        <v>39.986618824073268</v>
      </c>
      <c r="G69" s="3">
        <v>5.799022532469583</v>
      </c>
      <c r="H69" s="3">
        <v>20.714214474688141</v>
      </c>
    </row>
    <row r="70" spans="1:8" x14ac:dyDescent="0.3">
      <c r="A70" s="3">
        <v>69</v>
      </c>
      <c r="B70" s="3" t="s">
        <v>8</v>
      </c>
      <c r="C70" s="3">
        <v>87.766802403639218</v>
      </c>
      <c r="D70" s="3">
        <v>502.57076903269802</v>
      </c>
      <c r="E70" s="3">
        <v>4.7048658623312232</v>
      </c>
      <c r="F70" s="3">
        <v>44.767383099626393</v>
      </c>
      <c r="G70" s="3">
        <v>1.477089388740084</v>
      </c>
      <c r="H70" s="3">
        <v>19.282796721635879</v>
      </c>
    </row>
    <row r="71" spans="1:8" x14ac:dyDescent="0.3">
      <c r="A71" s="3">
        <v>70</v>
      </c>
      <c r="B71" s="3" t="s">
        <v>8</v>
      </c>
      <c r="C71" s="3">
        <v>91.150254056881437</v>
      </c>
      <c r="D71" s="3">
        <v>498.61688498334689</v>
      </c>
      <c r="E71" s="3">
        <v>6.0320338935427946</v>
      </c>
      <c r="F71" s="3">
        <v>43.256797858300502</v>
      </c>
      <c r="G71" s="3">
        <v>4.8770028156622587</v>
      </c>
      <c r="H71" s="3">
        <v>20.207705979637211</v>
      </c>
    </row>
    <row r="72" spans="1:8" x14ac:dyDescent="0.3">
      <c r="A72" s="3">
        <v>71</v>
      </c>
      <c r="B72" s="3" t="s">
        <v>8</v>
      </c>
      <c r="C72" s="3">
        <v>83.526906501830396</v>
      </c>
      <c r="D72" s="3">
        <v>507.25032006136462</v>
      </c>
      <c r="E72" s="3">
        <v>1.446052709496535</v>
      </c>
      <c r="F72" s="3">
        <v>45.164209575172279</v>
      </c>
      <c r="G72" s="3">
        <v>4.1490069330517398</v>
      </c>
      <c r="H72" s="3">
        <v>23.977725027797739</v>
      </c>
    </row>
    <row r="73" spans="1:8" x14ac:dyDescent="0.3">
      <c r="A73" s="3">
        <v>72</v>
      </c>
      <c r="B73" s="3" t="s">
        <v>8</v>
      </c>
      <c r="C73" s="3">
        <v>78.072493373077563</v>
      </c>
      <c r="D73" s="3">
        <v>495.04685331293541</v>
      </c>
      <c r="E73" s="3">
        <v>2.117714018531669</v>
      </c>
      <c r="F73" s="3">
        <v>38.666374880218413</v>
      </c>
      <c r="G73" s="3">
        <v>3.3362503827002121</v>
      </c>
      <c r="H73" s="3">
        <v>17.905500096139779</v>
      </c>
    </row>
    <row r="74" spans="1:8" x14ac:dyDescent="0.3">
      <c r="A74" s="3">
        <v>73</v>
      </c>
      <c r="B74" s="3" t="s">
        <v>8</v>
      </c>
      <c r="C74" s="3">
        <v>88.017215573386764</v>
      </c>
      <c r="D74" s="3">
        <v>498.60803827110198</v>
      </c>
      <c r="E74" s="3">
        <v>4.1935266264010167</v>
      </c>
      <c r="F74" s="3">
        <v>40.503905236419733</v>
      </c>
      <c r="G74" s="3">
        <v>2.744102120335393</v>
      </c>
      <c r="H74" s="3">
        <v>17.751774666610459</v>
      </c>
    </row>
    <row r="75" spans="1:8" x14ac:dyDescent="0.3">
      <c r="A75" s="3">
        <v>74</v>
      </c>
      <c r="B75" s="3" t="s">
        <v>8</v>
      </c>
      <c r="C75" s="3">
        <v>82.87239771225282</v>
      </c>
      <c r="D75" s="3">
        <v>502.4761395882777</v>
      </c>
      <c r="E75" s="3">
        <v>1.349328775532586</v>
      </c>
      <c r="F75" s="3">
        <v>41.695549683183771</v>
      </c>
      <c r="G75" s="3">
        <v>0.66035280857244583</v>
      </c>
      <c r="H75" s="3">
        <v>18.141154841877931</v>
      </c>
    </row>
    <row r="76" spans="1:8" x14ac:dyDescent="0.3">
      <c r="A76" s="3">
        <v>75</v>
      </c>
      <c r="B76" s="3" t="s">
        <v>8</v>
      </c>
      <c r="C76" s="3">
        <v>82.935974150597929</v>
      </c>
      <c r="D76" s="3">
        <v>501.53039764063601</v>
      </c>
      <c r="E76" s="3">
        <v>3.2738021504647059</v>
      </c>
      <c r="F76" s="3">
        <v>47.958174663180742</v>
      </c>
      <c r="G76" s="3">
        <v>1.172887472492304</v>
      </c>
      <c r="H76" s="3">
        <v>15.2450261953704</v>
      </c>
    </row>
    <row r="77" spans="1:8" x14ac:dyDescent="0.3">
      <c r="A77" s="3">
        <v>76</v>
      </c>
      <c r="B77" s="3" t="s">
        <v>8</v>
      </c>
      <c r="C77" s="3">
        <v>88.076714109090091</v>
      </c>
      <c r="D77" s="3">
        <v>498.23155688445502</v>
      </c>
      <c r="E77" s="3">
        <v>-2.885122796655907</v>
      </c>
      <c r="F77" s="3">
        <v>41.704529978729653</v>
      </c>
      <c r="G77" s="3">
        <v>2.1881864871254</v>
      </c>
      <c r="H77" s="3">
        <v>22.458884412511232</v>
      </c>
    </row>
    <row r="78" spans="1:8" x14ac:dyDescent="0.3">
      <c r="A78" s="3">
        <v>77</v>
      </c>
      <c r="B78" s="3" t="s">
        <v>8</v>
      </c>
      <c r="C78" s="3">
        <v>84.145680978846968</v>
      </c>
      <c r="D78" s="3">
        <v>497.00965777337751</v>
      </c>
      <c r="E78" s="3">
        <v>-0.35969916419287218</v>
      </c>
      <c r="F78" s="3">
        <v>42.601458139270413</v>
      </c>
      <c r="G78" s="3">
        <v>1.646666672037858</v>
      </c>
      <c r="H78" s="3">
        <v>20.577108940232741</v>
      </c>
    </row>
    <row r="79" spans="1:8" x14ac:dyDescent="0.3">
      <c r="A79" s="3">
        <v>78</v>
      </c>
      <c r="B79" s="3" t="s">
        <v>8</v>
      </c>
      <c r="C79" s="3">
        <v>81.337846863236393</v>
      </c>
      <c r="D79" s="3">
        <v>500.43342711413209</v>
      </c>
      <c r="E79" s="3">
        <v>-0.98326642681237564</v>
      </c>
      <c r="F79" s="3">
        <v>45.239621456022157</v>
      </c>
      <c r="G79" s="3">
        <v>4.3296734051586618</v>
      </c>
      <c r="H79" s="3">
        <v>20.621515922653781</v>
      </c>
    </row>
    <row r="80" spans="1:8" x14ac:dyDescent="0.3">
      <c r="A80" s="3">
        <v>79</v>
      </c>
      <c r="B80" s="3" t="s">
        <v>8</v>
      </c>
      <c r="C80" s="3">
        <v>85.543910439247455</v>
      </c>
      <c r="D80" s="3">
        <v>499.95707776049932</v>
      </c>
      <c r="E80" s="3">
        <v>0.43912890981827513</v>
      </c>
      <c r="F80" s="3">
        <v>44.031760914524668</v>
      </c>
      <c r="G80" s="3">
        <v>1.172048630440707</v>
      </c>
      <c r="H80" s="3">
        <v>19.86995793695694</v>
      </c>
    </row>
    <row r="81" spans="1:8" x14ac:dyDescent="0.3">
      <c r="A81" s="3">
        <v>80</v>
      </c>
      <c r="B81" s="3" t="s">
        <v>8</v>
      </c>
      <c r="C81" s="3">
        <v>84.583325912682866</v>
      </c>
      <c r="D81" s="3">
        <v>494.62915628820781</v>
      </c>
      <c r="E81" s="3">
        <v>0.92008641620800269</v>
      </c>
      <c r="F81" s="3">
        <v>45.439251536003887</v>
      </c>
      <c r="G81" s="3">
        <v>1.288869235236517</v>
      </c>
      <c r="H81" s="3">
        <v>18.46951867572767</v>
      </c>
    </row>
    <row r="82" spans="1:8" x14ac:dyDescent="0.3">
      <c r="A82" s="3">
        <v>81</v>
      </c>
      <c r="B82" s="3" t="s">
        <v>8</v>
      </c>
      <c r="C82" s="3">
        <v>85.017292557699662</v>
      </c>
      <c r="D82" s="3">
        <v>500.10365320140153</v>
      </c>
      <c r="E82" s="3">
        <v>4.1469154276391098</v>
      </c>
      <c r="F82" s="3">
        <v>51.915185946137072</v>
      </c>
      <c r="G82" s="3">
        <v>4.704273730300601E-2</v>
      </c>
      <c r="H82" s="3">
        <v>17.529744158671331</v>
      </c>
    </row>
    <row r="83" spans="1:8" x14ac:dyDescent="0.3">
      <c r="A83" s="3">
        <v>82</v>
      </c>
      <c r="B83" s="3" t="s">
        <v>8</v>
      </c>
      <c r="C83" s="3">
        <v>86.155841203378998</v>
      </c>
      <c r="D83" s="3">
        <v>500.57069094707742</v>
      </c>
      <c r="E83" s="3">
        <v>5.9463390075679214</v>
      </c>
      <c r="F83" s="3">
        <v>41.626188986225287</v>
      </c>
      <c r="G83" s="3">
        <v>1.084991014370015</v>
      </c>
      <c r="H83" s="3">
        <v>22.555569209878019</v>
      </c>
    </row>
    <row r="84" spans="1:8" x14ac:dyDescent="0.3">
      <c r="A84" s="3">
        <v>83</v>
      </c>
      <c r="B84" s="3" t="s">
        <v>8</v>
      </c>
      <c r="C84" s="3">
        <v>83.888019904622766</v>
      </c>
      <c r="D84" s="3">
        <v>500.52417919094552</v>
      </c>
      <c r="E84" s="3">
        <v>0.81784941273739342</v>
      </c>
      <c r="F84" s="3">
        <v>44.083591080270587</v>
      </c>
      <c r="G84" s="3">
        <v>1.2937030730884671</v>
      </c>
      <c r="H84" s="3">
        <v>15.72144598123954</v>
      </c>
    </row>
    <row r="85" spans="1:8" x14ac:dyDescent="0.3">
      <c r="A85" s="3">
        <v>84</v>
      </c>
      <c r="B85" s="3" t="s">
        <v>8</v>
      </c>
      <c r="C85" s="3">
        <v>86.933129645556505</v>
      </c>
      <c r="D85" s="3">
        <v>496.83494887219189</v>
      </c>
      <c r="E85" s="3">
        <v>9.4830528659857194E-3</v>
      </c>
      <c r="F85" s="3">
        <v>43.449721650768801</v>
      </c>
      <c r="G85" s="3">
        <v>-5.4412073216982453</v>
      </c>
      <c r="H85" s="3">
        <v>21.320896825896231</v>
      </c>
    </row>
    <row r="86" spans="1:8" x14ac:dyDescent="0.3">
      <c r="A86" s="3">
        <v>85</v>
      </c>
      <c r="B86" s="3" t="s">
        <v>8</v>
      </c>
      <c r="C86" s="3">
        <v>84.338540314543749</v>
      </c>
      <c r="D86" s="3">
        <v>501.42839983490791</v>
      </c>
      <c r="E86" s="3">
        <v>-0.1250665769685293</v>
      </c>
      <c r="F86" s="3">
        <v>49.537186280497373</v>
      </c>
      <c r="G86" s="3">
        <v>-2.5944950916429521</v>
      </c>
      <c r="H86" s="3">
        <v>17.622165047726948</v>
      </c>
    </row>
    <row r="87" spans="1:8" x14ac:dyDescent="0.3">
      <c r="A87" s="3">
        <v>86</v>
      </c>
      <c r="B87" s="3" t="s">
        <v>8</v>
      </c>
      <c r="C87" s="3">
        <v>85.995345891747093</v>
      </c>
      <c r="D87" s="3">
        <v>504.13571041087772</v>
      </c>
      <c r="E87" s="3">
        <v>1.7562338209089789</v>
      </c>
      <c r="F87" s="3">
        <v>42.691545231329172</v>
      </c>
      <c r="G87" s="3">
        <v>1.2825392701441229</v>
      </c>
      <c r="H87" s="3">
        <v>20.846930643636401</v>
      </c>
    </row>
    <row r="88" spans="1:8" x14ac:dyDescent="0.3">
      <c r="A88" s="3">
        <v>87</v>
      </c>
      <c r="B88" s="3" t="s">
        <v>8</v>
      </c>
      <c r="C88" s="3">
        <v>88.290517039448048</v>
      </c>
      <c r="D88" s="3">
        <v>501.36870920953942</v>
      </c>
      <c r="E88" s="3">
        <v>2.2829127955423081</v>
      </c>
      <c r="F88" s="3">
        <v>44.753739288672847</v>
      </c>
      <c r="G88" s="3">
        <v>0.7041486754065035</v>
      </c>
      <c r="H88" s="3">
        <v>17.77792843342954</v>
      </c>
    </row>
    <row r="89" spans="1:8" x14ac:dyDescent="0.3">
      <c r="A89" s="3">
        <v>88</v>
      </c>
      <c r="B89" s="3" t="s">
        <v>8</v>
      </c>
      <c r="C89" s="3">
        <v>86.30554447250141</v>
      </c>
      <c r="D89" s="3">
        <v>496.59323458887701</v>
      </c>
      <c r="E89" s="3">
        <v>4.4508526015148089</v>
      </c>
      <c r="F89" s="3">
        <v>47.361400842968123</v>
      </c>
      <c r="G89" s="3">
        <v>-2.102607984622308</v>
      </c>
      <c r="H89" s="3">
        <v>18.429974951947909</v>
      </c>
    </row>
    <row r="90" spans="1:8" x14ac:dyDescent="0.3">
      <c r="A90" s="3">
        <v>89</v>
      </c>
      <c r="B90" s="3" t="s">
        <v>8</v>
      </c>
      <c r="C90" s="3">
        <v>84.022205243406319</v>
      </c>
      <c r="D90" s="3">
        <v>498.69306359092428</v>
      </c>
      <c r="E90" s="3">
        <v>2.03602547349483</v>
      </c>
      <c r="F90" s="3">
        <v>41.824228392154801</v>
      </c>
      <c r="G90" s="3">
        <v>-4.4746145281290568</v>
      </c>
      <c r="H90" s="3">
        <v>25.308097751081039</v>
      </c>
    </row>
    <row r="91" spans="1:8" x14ac:dyDescent="0.3">
      <c r="A91" s="3">
        <v>90</v>
      </c>
      <c r="B91" s="3" t="s">
        <v>8</v>
      </c>
      <c r="C91" s="3">
        <v>88.446422855353276</v>
      </c>
      <c r="D91" s="3">
        <v>501.03831085866079</v>
      </c>
      <c r="E91" s="3">
        <v>-3.2354678065800679</v>
      </c>
      <c r="F91" s="3">
        <v>49.96552744722603</v>
      </c>
      <c r="G91" s="3">
        <v>0.43689234025971979</v>
      </c>
      <c r="H91" s="3">
        <v>22.004847856800541</v>
      </c>
    </row>
    <row r="92" spans="1:8" x14ac:dyDescent="0.3">
      <c r="A92" s="3">
        <v>91</v>
      </c>
      <c r="B92" s="3" t="s">
        <v>8</v>
      </c>
      <c r="C92" s="3">
        <v>87.980511567886353</v>
      </c>
      <c r="D92" s="3">
        <v>498.05886310604518</v>
      </c>
      <c r="E92" s="3">
        <v>2.7256971733495852</v>
      </c>
      <c r="F92" s="3">
        <v>47.027287246422738</v>
      </c>
      <c r="G92" s="3">
        <v>3.46048729708283</v>
      </c>
      <c r="H92" s="3">
        <v>13.565308927173019</v>
      </c>
    </row>
    <row r="93" spans="1:8" x14ac:dyDescent="0.3">
      <c r="A93" s="3">
        <v>92</v>
      </c>
      <c r="B93" s="3" t="s">
        <v>8</v>
      </c>
      <c r="C93" s="3">
        <v>86.645190878524204</v>
      </c>
      <c r="D93" s="3">
        <v>493.52706099495418</v>
      </c>
      <c r="E93" s="3">
        <v>6.5615604319546694</v>
      </c>
      <c r="F93" s="3">
        <v>41.777380171408943</v>
      </c>
      <c r="G93" s="3">
        <v>6.8197158957826947</v>
      </c>
      <c r="H93" s="3">
        <v>20.379237248300949</v>
      </c>
    </row>
    <row r="94" spans="1:8" x14ac:dyDescent="0.3">
      <c r="A94" s="3">
        <v>93</v>
      </c>
      <c r="B94" s="3" t="s">
        <v>8</v>
      </c>
      <c r="C94" s="3">
        <v>85.71619520533433</v>
      </c>
      <c r="D94" s="3">
        <v>502.65275246008463</v>
      </c>
      <c r="E94" s="3">
        <v>6.5748038055309754</v>
      </c>
      <c r="F94" s="3">
        <v>46.363733427173223</v>
      </c>
      <c r="G94" s="3">
        <v>1.3846296188719851</v>
      </c>
      <c r="H94" s="3">
        <v>18.64456119122833</v>
      </c>
    </row>
    <row r="95" spans="1:8" x14ac:dyDescent="0.3">
      <c r="A95" s="3">
        <v>94</v>
      </c>
      <c r="B95" s="3" t="s">
        <v>8</v>
      </c>
      <c r="C95" s="3">
        <v>83.116281771881887</v>
      </c>
      <c r="D95" s="3">
        <v>497.51156716512651</v>
      </c>
      <c r="E95" s="3">
        <v>0.63311034566631097</v>
      </c>
      <c r="F95" s="3">
        <v>44.360078570300793</v>
      </c>
      <c r="G95" s="3">
        <v>5.9795545218831503</v>
      </c>
      <c r="H95" s="3">
        <v>16.59012143666699</v>
      </c>
    </row>
    <row r="96" spans="1:8" x14ac:dyDescent="0.3">
      <c r="A96" s="3">
        <v>95</v>
      </c>
      <c r="B96" s="3" t="s">
        <v>8</v>
      </c>
      <c r="C96" s="3">
        <v>89.081957345590027</v>
      </c>
      <c r="D96" s="3">
        <v>498.27931918769508</v>
      </c>
      <c r="E96" s="3">
        <v>-1.6433296309127119</v>
      </c>
      <c r="F96" s="3">
        <v>45.939686315983003</v>
      </c>
      <c r="G96" s="3">
        <v>1.7490664729079051</v>
      </c>
      <c r="H96" s="3">
        <v>20.62935767129358</v>
      </c>
    </row>
    <row r="97" spans="1:8" x14ac:dyDescent="0.3">
      <c r="A97" s="3">
        <v>96</v>
      </c>
      <c r="B97" s="3" t="s">
        <v>8</v>
      </c>
      <c r="C97" s="3">
        <v>83.199221238558621</v>
      </c>
      <c r="D97" s="3">
        <v>504.51170182701361</v>
      </c>
      <c r="E97" s="3">
        <v>10.374181475595821</v>
      </c>
      <c r="F97" s="3">
        <v>44.730074408953008</v>
      </c>
      <c r="G97" s="3">
        <v>1.8465963127786791</v>
      </c>
      <c r="H97" s="3">
        <v>20.38989654805809</v>
      </c>
    </row>
    <row r="98" spans="1:8" x14ac:dyDescent="0.3">
      <c r="A98" s="3">
        <v>97</v>
      </c>
      <c r="B98" s="3" t="s">
        <v>8</v>
      </c>
      <c r="C98" s="3">
        <v>91.561998979049733</v>
      </c>
      <c r="D98" s="3">
        <v>497.67756521118378</v>
      </c>
      <c r="E98" s="3">
        <v>2.5127341725617418</v>
      </c>
      <c r="F98" s="3">
        <v>48.211548110335031</v>
      </c>
      <c r="G98" s="3">
        <v>2.4744759400462399</v>
      </c>
      <c r="H98" s="3">
        <v>19.01448028229575</v>
      </c>
    </row>
    <row r="99" spans="1:8" x14ac:dyDescent="0.3">
      <c r="A99" s="3">
        <v>98</v>
      </c>
      <c r="B99" s="3" t="s">
        <v>8</v>
      </c>
      <c r="C99" s="3">
        <v>89.597831878555567</v>
      </c>
      <c r="D99" s="3">
        <v>502.5371946205679</v>
      </c>
      <c r="E99" s="3">
        <v>2.7076462496831479</v>
      </c>
      <c r="F99" s="3">
        <v>40.946698842890001</v>
      </c>
      <c r="G99" s="3">
        <v>-1.1117317357827561</v>
      </c>
      <c r="H99" s="3">
        <v>25.918110702012349</v>
      </c>
    </row>
    <row r="100" spans="1:8" x14ac:dyDescent="0.3">
      <c r="A100" s="3">
        <v>99</v>
      </c>
      <c r="B100" s="3" t="s">
        <v>8</v>
      </c>
      <c r="C100" s="3">
        <v>84.292898922698569</v>
      </c>
      <c r="D100" s="3">
        <v>496.21795136354359</v>
      </c>
      <c r="E100" s="3">
        <v>4.2617225660944413</v>
      </c>
      <c r="F100" s="3">
        <v>43.432149908412249</v>
      </c>
      <c r="G100" s="3">
        <v>1.3448453613153499</v>
      </c>
      <c r="H100" s="3">
        <v>13.253929799550329</v>
      </c>
    </row>
    <row r="101" spans="1:8" x14ac:dyDescent="0.3">
      <c r="A101" s="3">
        <v>100</v>
      </c>
      <c r="B101" s="3" t="s">
        <v>8</v>
      </c>
      <c r="C101" s="3">
        <v>81.920737299079661</v>
      </c>
      <c r="D101" s="3">
        <v>498.93637279077808</v>
      </c>
      <c r="E101" s="3">
        <v>-1.842118369857358</v>
      </c>
      <c r="F101" s="3">
        <v>44.252427966733798</v>
      </c>
      <c r="G101" s="3">
        <v>4.2253430963767524</v>
      </c>
      <c r="H101" s="3">
        <v>22.51465816183547</v>
      </c>
    </row>
    <row r="102" spans="1:8" x14ac:dyDescent="0.3">
      <c r="A102" s="3">
        <v>101</v>
      </c>
      <c r="B102" s="3" t="s">
        <v>9</v>
      </c>
      <c r="C102" s="3">
        <v>87.868780308902103</v>
      </c>
      <c r="D102" s="3">
        <v>799.7793319425906</v>
      </c>
      <c r="E102" s="3">
        <v>-0.1846573335738628</v>
      </c>
      <c r="F102" s="3">
        <v>32.012603825446</v>
      </c>
      <c r="G102" s="3">
        <v>-1.0491773605565671</v>
      </c>
      <c r="H102" s="3">
        <v>14.13293018861228</v>
      </c>
    </row>
    <row r="103" spans="1:8" x14ac:dyDescent="0.3">
      <c r="A103" s="3">
        <v>102</v>
      </c>
      <c r="B103" s="3" t="s">
        <v>9</v>
      </c>
      <c r="C103" s="3">
        <v>90.770651127469591</v>
      </c>
      <c r="D103" s="3">
        <v>796.49404572672688</v>
      </c>
      <c r="E103" s="3">
        <v>-2.621327215870028</v>
      </c>
      <c r="F103" s="3">
        <v>31.880134868701418</v>
      </c>
      <c r="G103" s="3">
        <v>0.23518179033611769</v>
      </c>
      <c r="H103" s="3">
        <v>16.969540231738151</v>
      </c>
    </row>
    <row r="104" spans="1:8" x14ac:dyDescent="0.3">
      <c r="A104" s="3">
        <v>103</v>
      </c>
      <c r="B104" s="3" t="s">
        <v>9</v>
      </c>
      <c r="C104" s="3">
        <v>89.259924364612885</v>
      </c>
      <c r="D104" s="3">
        <v>798.09575520527324</v>
      </c>
      <c r="E104" s="3">
        <v>-7.9283842031785401E-2</v>
      </c>
      <c r="F104" s="3">
        <v>34.946059278270013</v>
      </c>
      <c r="G104" s="3">
        <v>-2.243312251377763</v>
      </c>
      <c r="H104" s="3">
        <v>13.638006898083949</v>
      </c>
    </row>
    <row r="105" spans="1:8" x14ac:dyDescent="0.3">
      <c r="A105" s="3">
        <v>104</v>
      </c>
      <c r="B105" s="3" t="s">
        <v>9</v>
      </c>
      <c r="C105" s="3">
        <v>88.957372201806805</v>
      </c>
      <c r="D105" s="3">
        <v>799.91347534121508</v>
      </c>
      <c r="E105" s="3">
        <v>2.3565482990136828</v>
      </c>
      <c r="F105" s="3">
        <v>34.603474601429802</v>
      </c>
      <c r="G105" s="3">
        <v>2.2630565893480639</v>
      </c>
      <c r="H105" s="3">
        <v>13.21840631266471</v>
      </c>
    </row>
    <row r="106" spans="1:8" x14ac:dyDescent="0.3">
      <c r="A106" s="3">
        <v>105</v>
      </c>
      <c r="B106" s="3" t="s">
        <v>9</v>
      </c>
      <c r="C106" s="3">
        <v>87.145144298204954</v>
      </c>
      <c r="D106" s="3">
        <v>802.01208790620183</v>
      </c>
      <c r="E106" s="3">
        <v>-2.094128373960737</v>
      </c>
      <c r="F106" s="3">
        <v>27.3519716757487</v>
      </c>
      <c r="G106" s="3">
        <v>2.4743993471670671</v>
      </c>
      <c r="H106" s="3">
        <v>9.8688610008161213</v>
      </c>
    </row>
    <row r="107" spans="1:8" x14ac:dyDescent="0.3">
      <c r="A107" s="3">
        <v>106</v>
      </c>
      <c r="B107" s="3" t="s">
        <v>9</v>
      </c>
      <c r="C107" s="3">
        <v>89.864916825573246</v>
      </c>
      <c r="D107" s="3">
        <v>795.04836036972472</v>
      </c>
      <c r="E107" s="3">
        <v>3.7699480381019388</v>
      </c>
      <c r="F107" s="3">
        <v>38.121720367158133</v>
      </c>
      <c r="G107" s="3">
        <v>3.145042053672245</v>
      </c>
      <c r="H107" s="3">
        <v>14.371654715181791</v>
      </c>
    </row>
    <row r="108" spans="1:8" x14ac:dyDescent="0.3">
      <c r="A108" s="3">
        <v>107</v>
      </c>
      <c r="B108" s="3" t="s">
        <v>9</v>
      </c>
      <c r="C108" s="3">
        <v>87.645286591628775</v>
      </c>
      <c r="D108" s="3">
        <v>798.95073728236616</v>
      </c>
      <c r="E108" s="3">
        <v>2.8680320864520081</v>
      </c>
      <c r="F108" s="3">
        <v>35.749177207955569</v>
      </c>
      <c r="G108" s="3">
        <v>-2.4594300945507062</v>
      </c>
      <c r="H108" s="3">
        <v>22.436237404071271</v>
      </c>
    </row>
    <row r="109" spans="1:8" x14ac:dyDescent="0.3">
      <c r="A109" s="3">
        <v>108</v>
      </c>
      <c r="B109" s="3" t="s">
        <v>9</v>
      </c>
      <c r="C109" s="3">
        <v>84.996174190235593</v>
      </c>
      <c r="D109" s="3">
        <v>802.26921931563641</v>
      </c>
      <c r="E109" s="3">
        <v>-0.71264507686191703</v>
      </c>
      <c r="F109" s="3">
        <v>42.248622119444988</v>
      </c>
      <c r="G109" s="3">
        <v>1.521705104264292</v>
      </c>
      <c r="H109" s="3">
        <v>17.969106624388111</v>
      </c>
    </row>
    <row r="110" spans="1:8" x14ac:dyDescent="0.3">
      <c r="A110" s="3">
        <v>109</v>
      </c>
      <c r="B110" s="3" t="s">
        <v>9</v>
      </c>
      <c r="C110" s="3">
        <v>88.85932043913671</v>
      </c>
      <c r="D110" s="3">
        <v>798.38357252006722</v>
      </c>
      <c r="E110" s="3">
        <v>2.678974827143191</v>
      </c>
      <c r="F110" s="3">
        <v>37.055594714153287</v>
      </c>
      <c r="G110" s="3">
        <v>-1.6321730749495369</v>
      </c>
      <c r="H110" s="3">
        <v>20.02671646748048</v>
      </c>
    </row>
    <row r="111" spans="1:8" x14ac:dyDescent="0.3">
      <c r="A111" s="3">
        <v>110</v>
      </c>
      <c r="B111" s="3" t="s">
        <v>9</v>
      </c>
      <c r="C111" s="3">
        <v>92.756989827182295</v>
      </c>
      <c r="D111" s="3">
        <v>800.68187576501884</v>
      </c>
      <c r="E111" s="3">
        <v>4.2442434874815307</v>
      </c>
      <c r="F111" s="3">
        <v>33.65912207311402</v>
      </c>
      <c r="G111" s="3">
        <v>1.198846053851929</v>
      </c>
      <c r="H111" s="3">
        <v>17.74489595494212</v>
      </c>
    </row>
    <row r="112" spans="1:8" x14ac:dyDescent="0.3">
      <c r="A112" s="3">
        <v>111</v>
      </c>
      <c r="B112" s="3" t="s">
        <v>9</v>
      </c>
      <c r="C112" s="3">
        <v>88.273959112174822</v>
      </c>
      <c r="D112" s="3">
        <v>801.47668571019335</v>
      </c>
      <c r="E112" s="3">
        <v>5.1832857597852247</v>
      </c>
      <c r="F112" s="3">
        <v>43.392173440874288</v>
      </c>
      <c r="G112" s="3">
        <v>5.2278717600182398</v>
      </c>
      <c r="H112" s="3">
        <v>18.432788123885569</v>
      </c>
    </row>
    <row r="113" spans="1:8" x14ac:dyDescent="0.3">
      <c r="A113" s="3">
        <v>112</v>
      </c>
      <c r="B113" s="3" t="s">
        <v>9</v>
      </c>
      <c r="C113" s="3">
        <v>91.823892966675103</v>
      </c>
      <c r="D113" s="3">
        <v>800.80350504599505</v>
      </c>
      <c r="E113" s="3">
        <v>1.3614551640604169</v>
      </c>
      <c r="F113" s="3">
        <v>43.496678071746523</v>
      </c>
      <c r="G113" s="3">
        <v>-0.31057586080282662</v>
      </c>
      <c r="H113" s="3">
        <v>17.70862924349732</v>
      </c>
    </row>
    <row r="114" spans="1:8" x14ac:dyDescent="0.3">
      <c r="A114" s="3">
        <v>113</v>
      </c>
      <c r="B114" s="3" t="s">
        <v>9</v>
      </c>
      <c r="C114" s="3">
        <v>85.14635187513251</v>
      </c>
      <c r="D114" s="3">
        <v>801.95977303841414</v>
      </c>
      <c r="E114" s="3">
        <v>1.7190896182668629</v>
      </c>
      <c r="F114" s="3">
        <v>31.34386455112946</v>
      </c>
      <c r="G114" s="3">
        <v>3.3500499628164748</v>
      </c>
      <c r="H114" s="3">
        <v>16.426177295295311</v>
      </c>
    </row>
    <row r="115" spans="1:8" x14ac:dyDescent="0.3">
      <c r="A115" s="3">
        <v>114</v>
      </c>
      <c r="B115" s="3" t="s">
        <v>9</v>
      </c>
      <c r="C115" s="3">
        <v>89.833314103426375</v>
      </c>
      <c r="D115" s="3">
        <v>799.63187401706784</v>
      </c>
      <c r="E115" s="3">
        <v>1.739857595054225</v>
      </c>
      <c r="F115" s="3">
        <v>36.407095867866268</v>
      </c>
      <c r="G115" s="3">
        <v>-1.0490057522510861</v>
      </c>
      <c r="H115" s="3">
        <v>13.252413678008979</v>
      </c>
    </row>
    <row r="116" spans="1:8" x14ac:dyDescent="0.3">
      <c r="A116" s="3">
        <v>115</v>
      </c>
      <c r="B116" s="3" t="s">
        <v>9</v>
      </c>
      <c r="C116" s="3">
        <v>91.55822161183039</v>
      </c>
      <c r="D116" s="3">
        <v>798.75897045922363</v>
      </c>
      <c r="E116" s="3">
        <v>6.324385268165134</v>
      </c>
      <c r="F116" s="3">
        <v>34.366259244103553</v>
      </c>
      <c r="G116" s="3">
        <v>-0.23558463135091601</v>
      </c>
      <c r="H116" s="3">
        <v>13.40119578802957</v>
      </c>
    </row>
    <row r="117" spans="1:8" x14ac:dyDescent="0.3">
      <c r="A117" s="3">
        <v>116</v>
      </c>
      <c r="B117" s="3" t="s">
        <v>9</v>
      </c>
      <c r="C117" s="3">
        <v>90.903460086500147</v>
      </c>
      <c r="D117" s="3">
        <v>792.07055314391312</v>
      </c>
      <c r="E117" s="3">
        <v>5.3752156768339816</v>
      </c>
      <c r="F117" s="3">
        <v>35.561153439662043</v>
      </c>
      <c r="G117" s="3">
        <v>2.516165251759849</v>
      </c>
      <c r="H117" s="3">
        <v>10.197480010874131</v>
      </c>
    </row>
    <row r="118" spans="1:8" x14ac:dyDescent="0.3">
      <c r="A118" s="3">
        <v>117</v>
      </c>
      <c r="B118" s="3" t="s">
        <v>9</v>
      </c>
      <c r="C118" s="3">
        <v>90.317028582446824</v>
      </c>
      <c r="D118" s="3">
        <v>799.72117694456153</v>
      </c>
      <c r="E118" s="3">
        <v>4.503204703271118</v>
      </c>
      <c r="F118" s="3">
        <v>35.682628185706442</v>
      </c>
      <c r="G118" s="3">
        <v>-0.83733681137360372</v>
      </c>
      <c r="H118" s="3">
        <v>14.982546858360021</v>
      </c>
    </row>
    <row r="119" spans="1:8" x14ac:dyDescent="0.3">
      <c r="A119" s="3">
        <v>118</v>
      </c>
      <c r="B119" s="3" t="s">
        <v>9</v>
      </c>
      <c r="C119" s="3">
        <v>88.077881975083869</v>
      </c>
      <c r="D119" s="3">
        <v>801.29085408907997</v>
      </c>
      <c r="E119" s="3">
        <v>1.1379776004779221</v>
      </c>
      <c r="F119" s="3">
        <v>31.214298611392842</v>
      </c>
      <c r="G119" s="3">
        <v>-3.9088945054363049</v>
      </c>
      <c r="H119" s="3">
        <v>17.69806702757014</v>
      </c>
    </row>
    <row r="120" spans="1:8" x14ac:dyDescent="0.3">
      <c r="A120" s="3">
        <v>119</v>
      </c>
      <c r="B120" s="3" t="s">
        <v>9</v>
      </c>
      <c r="C120" s="3">
        <v>87.450886961899258</v>
      </c>
      <c r="D120" s="3">
        <v>801.60619652260448</v>
      </c>
      <c r="E120" s="3">
        <v>3.1197243024992178</v>
      </c>
      <c r="F120" s="3">
        <v>35.856768740727688</v>
      </c>
      <c r="G120" s="3">
        <v>4.9955053056399894</v>
      </c>
      <c r="H120" s="3">
        <v>18.095767669578219</v>
      </c>
    </row>
    <row r="121" spans="1:8" x14ac:dyDescent="0.3">
      <c r="A121" s="3">
        <v>120</v>
      </c>
      <c r="B121" s="3" t="s">
        <v>9</v>
      </c>
      <c r="C121" s="3">
        <v>86.927613628185256</v>
      </c>
      <c r="D121" s="3">
        <v>798.33416494606024</v>
      </c>
      <c r="E121" s="3">
        <v>3.2098709936620868</v>
      </c>
      <c r="F121" s="3">
        <v>40.247742089425387</v>
      </c>
      <c r="G121" s="3">
        <v>2.2810717136395389</v>
      </c>
      <c r="H121" s="3">
        <v>15.285398113366259</v>
      </c>
    </row>
    <row r="122" spans="1:8" x14ac:dyDescent="0.3">
      <c r="A122" s="3">
        <v>121</v>
      </c>
      <c r="B122" s="3" t="s">
        <v>9</v>
      </c>
      <c r="C122" s="3">
        <v>90.352939791300372</v>
      </c>
      <c r="D122" s="3">
        <v>805.33850872932544</v>
      </c>
      <c r="E122" s="3">
        <v>-1.1250198828679669</v>
      </c>
      <c r="F122" s="3">
        <v>34.507729987595589</v>
      </c>
      <c r="G122" s="3">
        <v>-0.55091832168026911</v>
      </c>
      <c r="H122" s="3">
        <v>13.35711714833427</v>
      </c>
    </row>
    <row r="123" spans="1:8" x14ac:dyDescent="0.3">
      <c r="A123" s="3">
        <v>122</v>
      </c>
      <c r="B123" s="3" t="s">
        <v>9</v>
      </c>
      <c r="C123" s="3">
        <v>87.15757615744559</v>
      </c>
      <c r="D123" s="3">
        <v>800.85927325888645</v>
      </c>
      <c r="E123" s="3">
        <v>-3.1849135459622282</v>
      </c>
      <c r="F123" s="3">
        <v>34.511219867904643</v>
      </c>
      <c r="G123" s="3">
        <v>-4.782236361991802</v>
      </c>
      <c r="H123" s="3">
        <v>24.871552329955591</v>
      </c>
    </row>
    <row r="124" spans="1:8" x14ac:dyDescent="0.3">
      <c r="A124" s="3">
        <v>123</v>
      </c>
      <c r="B124" s="3" t="s">
        <v>9</v>
      </c>
      <c r="C124" s="3">
        <v>88.528327668898001</v>
      </c>
      <c r="D124" s="3">
        <v>800.37894757537663</v>
      </c>
      <c r="E124" s="3">
        <v>3.9254900829548478</v>
      </c>
      <c r="F124" s="3">
        <v>39.195716019012401</v>
      </c>
      <c r="G124" s="3">
        <v>6.9066293141979136</v>
      </c>
      <c r="H124" s="3">
        <v>17.210056593751268</v>
      </c>
    </row>
    <row r="125" spans="1:8" x14ac:dyDescent="0.3">
      <c r="A125" s="3">
        <v>124</v>
      </c>
      <c r="B125" s="3" t="s">
        <v>9</v>
      </c>
      <c r="C125" s="3">
        <v>89.231723423405256</v>
      </c>
      <c r="D125" s="3">
        <v>803.81680033840553</v>
      </c>
      <c r="E125" s="3">
        <v>-2.5879315935412648</v>
      </c>
      <c r="F125" s="3">
        <v>37.695188722048847</v>
      </c>
      <c r="G125" s="3">
        <v>11.371112463814621</v>
      </c>
      <c r="H125" s="3">
        <v>19.26172591463741</v>
      </c>
    </row>
    <row r="126" spans="1:8" x14ac:dyDescent="0.3">
      <c r="A126" s="3">
        <v>125</v>
      </c>
      <c r="B126" s="3" t="s">
        <v>9</v>
      </c>
      <c r="C126" s="3">
        <v>95.531586015696618</v>
      </c>
      <c r="D126" s="3">
        <v>797.84460133604227</v>
      </c>
      <c r="E126" s="3">
        <v>2.0050510654526299</v>
      </c>
      <c r="F126" s="3">
        <v>30.054515544856141</v>
      </c>
      <c r="G126" s="3">
        <v>1.8224412220663699</v>
      </c>
      <c r="H126" s="3">
        <v>13.986958077998031</v>
      </c>
    </row>
    <row r="127" spans="1:8" x14ac:dyDescent="0.3">
      <c r="A127" s="3">
        <v>126</v>
      </c>
      <c r="B127" s="3" t="s">
        <v>9</v>
      </c>
      <c r="C127" s="3">
        <v>88.044150294913621</v>
      </c>
      <c r="D127" s="3">
        <v>798.64898412822583</v>
      </c>
      <c r="E127" s="3">
        <v>2.750743464044993</v>
      </c>
      <c r="F127" s="3">
        <v>35.68567091978656</v>
      </c>
      <c r="G127" s="3">
        <v>3.7494199425335668</v>
      </c>
      <c r="H127" s="3">
        <v>14.886127118836219</v>
      </c>
    </row>
    <row r="128" spans="1:8" x14ac:dyDescent="0.3">
      <c r="A128" s="3">
        <v>127</v>
      </c>
      <c r="B128" s="3" t="s">
        <v>9</v>
      </c>
      <c r="C128" s="3">
        <v>90.706159716854572</v>
      </c>
      <c r="D128" s="3">
        <v>807.19235744014929</v>
      </c>
      <c r="E128" s="3">
        <v>3.6916021709176499</v>
      </c>
      <c r="F128" s="3">
        <v>39.9606417040332</v>
      </c>
      <c r="G128" s="3">
        <v>4.8736809362224811</v>
      </c>
      <c r="H128" s="3">
        <v>16.345821293120181</v>
      </c>
    </row>
    <row r="129" spans="1:8" x14ac:dyDescent="0.3">
      <c r="A129" s="3">
        <v>128</v>
      </c>
      <c r="B129" s="3" t="s">
        <v>9</v>
      </c>
      <c r="C129" s="3">
        <v>90.233882548691128</v>
      </c>
      <c r="D129" s="3">
        <v>800.03338756166261</v>
      </c>
      <c r="E129" s="3">
        <v>2.5682787125444322</v>
      </c>
      <c r="F129" s="3">
        <v>39.245829049757432</v>
      </c>
      <c r="G129" s="3">
        <v>-0.90541330061582603</v>
      </c>
      <c r="H129" s="3">
        <v>20.02956693584488</v>
      </c>
    </row>
    <row r="130" spans="1:8" x14ac:dyDescent="0.3">
      <c r="A130" s="3">
        <v>129</v>
      </c>
      <c r="B130" s="3" t="s">
        <v>9</v>
      </c>
      <c r="C130" s="3">
        <v>87.114430097609613</v>
      </c>
      <c r="D130" s="3">
        <v>804.90070526422494</v>
      </c>
      <c r="E130" s="3">
        <v>-0.1985614188913756</v>
      </c>
      <c r="F130" s="3">
        <v>36.259854811442693</v>
      </c>
      <c r="G130" s="3">
        <v>0.14641131133037949</v>
      </c>
      <c r="H130" s="3">
        <v>14.065576363631619</v>
      </c>
    </row>
    <row r="131" spans="1:8" x14ac:dyDescent="0.3">
      <c r="A131" s="3">
        <v>130</v>
      </c>
      <c r="B131" s="3" t="s">
        <v>9</v>
      </c>
      <c r="C131" s="3">
        <v>89.786075741629205</v>
      </c>
      <c r="D131" s="3">
        <v>795.68448006525648</v>
      </c>
      <c r="E131" s="3">
        <v>4.959097579686385</v>
      </c>
      <c r="F131" s="3">
        <v>37.163662421338692</v>
      </c>
      <c r="G131" s="3">
        <v>-3.9813631099355891</v>
      </c>
      <c r="H131" s="3">
        <v>17.560847000349209</v>
      </c>
    </row>
    <row r="132" spans="1:8" x14ac:dyDescent="0.3">
      <c r="A132" s="3">
        <v>131</v>
      </c>
      <c r="B132" s="3" t="s">
        <v>9</v>
      </c>
      <c r="C132" s="3">
        <v>94.333652575270051</v>
      </c>
      <c r="D132" s="3">
        <v>799.42844959387128</v>
      </c>
      <c r="E132" s="3">
        <v>7.2159013007187376</v>
      </c>
      <c r="F132" s="3">
        <v>31.409194363433951</v>
      </c>
      <c r="G132" s="3">
        <v>-1.009734696815616</v>
      </c>
      <c r="H132" s="3">
        <v>8.7155560970393129</v>
      </c>
    </row>
    <row r="133" spans="1:8" x14ac:dyDescent="0.3">
      <c r="A133" s="3">
        <v>132</v>
      </c>
      <c r="B133" s="3" t="s">
        <v>9</v>
      </c>
      <c r="C133" s="3">
        <v>91.354512159237643</v>
      </c>
      <c r="D133" s="3">
        <v>801.1352717109105</v>
      </c>
      <c r="E133" s="3">
        <v>4.6435364267763282</v>
      </c>
      <c r="F133" s="3">
        <v>35.900394700644121</v>
      </c>
      <c r="G133" s="3">
        <v>3.0672293486583428</v>
      </c>
      <c r="H133" s="3">
        <v>13.478236697755101</v>
      </c>
    </row>
    <row r="134" spans="1:8" x14ac:dyDescent="0.3">
      <c r="A134" s="3">
        <v>133</v>
      </c>
      <c r="B134" s="3" t="s">
        <v>9</v>
      </c>
      <c r="C134" s="3">
        <v>90.123698765978816</v>
      </c>
      <c r="D134" s="3">
        <v>800.90011563561734</v>
      </c>
      <c r="E134" s="3">
        <v>-3.8309527039719269</v>
      </c>
      <c r="F134" s="3">
        <v>32.136653194436533</v>
      </c>
      <c r="G134" s="3">
        <v>0.32785203227738863</v>
      </c>
      <c r="H134" s="3">
        <v>11.123972769710059</v>
      </c>
    </row>
    <row r="135" spans="1:8" x14ac:dyDescent="0.3">
      <c r="A135" s="3">
        <v>134</v>
      </c>
      <c r="B135" s="3" t="s">
        <v>9</v>
      </c>
      <c r="C135" s="3">
        <v>88.732509502981131</v>
      </c>
      <c r="D135" s="3">
        <v>796.98309122146748</v>
      </c>
      <c r="E135" s="3">
        <v>6.198728556208831</v>
      </c>
      <c r="F135" s="3">
        <v>33.625945795709157</v>
      </c>
      <c r="G135" s="3">
        <v>0.5573653974507693</v>
      </c>
      <c r="H135" s="3">
        <v>18.340088152071299</v>
      </c>
    </row>
    <row r="136" spans="1:8" x14ac:dyDescent="0.3">
      <c r="A136" s="3">
        <v>135</v>
      </c>
      <c r="B136" s="3" t="s">
        <v>9</v>
      </c>
      <c r="C136" s="3">
        <v>83.840258335378451</v>
      </c>
      <c r="D136" s="3">
        <v>800.05777782387611</v>
      </c>
      <c r="E136" s="3">
        <v>1.8318321614411961</v>
      </c>
      <c r="F136" s="3">
        <v>37.806811051338798</v>
      </c>
      <c r="G136" s="3">
        <v>0.86232134549245165</v>
      </c>
      <c r="H136" s="3">
        <v>14.50664073515923</v>
      </c>
    </row>
    <row r="137" spans="1:8" x14ac:dyDescent="0.3">
      <c r="A137" s="3">
        <v>136</v>
      </c>
      <c r="B137" s="3" t="s">
        <v>9</v>
      </c>
      <c r="C137" s="3">
        <v>93.394011640242525</v>
      </c>
      <c r="D137" s="3">
        <v>796.76773804066409</v>
      </c>
      <c r="E137" s="3">
        <v>3.5747428379578698</v>
      </c>
      <c r="F137" s="3">
        <v>31.589320664926571</v>
      </c>
      <c r="G137" s="3">
        <v>-4.3910009474868126</v>
      </c>
      <c r="H137" s="3">
        <v>13.82887775397977</v>
      </c>
    </row>
    <row r="138" spans="1:8" x14ac:dyDescent="0.3">
      <c r="A138" s="3">
        <v>137</v>
      </c>
      <c r="B138" s="3" t="s">
        <v>9</v>
      </c>
      <c r="C138" s="3">
        <v>85.61807978722554</v>
      </c>
      <c r="D138" s="3">
        <v>802.13810997573285</v>
      </c>
      <c r="E138" s="3">
        <v>3.8660997076131811</v>
      </c>
      <c r="F138" s="3">
        <v>35.800754752619177</v>
      </c>
      <c r="G138" s="3">
        <v>3.712889802695011</v>
      </c>
      <c r="H138" s="3">
        <v>19.107299538595729</v>
      </c>
    </row>
    <row r="139" spans="1:8" x14ac:dyDescent="0.3">
      <c r="A139" s="3">
        <v>138</v>
      </c>
      <c r="B139" s="3" t="s">
        <v>9</v>
      </c>
      <c r="C139" s="3">
        <v>92.219842532632001</v>
      </c>
      <c r="D139" s="3">
        <v>803.25432526958195</v>
      </c>
      <c r="E139" s="3">
        <v>1.7099417803798851</v>
      </c>
      <c r="F139" s="3">
        <v>36.284996118414632</v>
      </c>
      <c r="G139" s="3">
        <v>-3.1304786668062632</v>
      </c>
      <c r="H139" s="3">
        <v>18.34881857472007</v>
      </c>
    </row>
    <row r="140" spans="1:8" x14ac:dyDescent="0.3">
      <c r="A140" s="3">
        <v>139</v>
      </c>
      <c r="B140" s="3" t="s">
        <v>9</v>
      </c>
      <c r="C140" s="3">
        <v>95.72731070765245</v>
      </c>
      <c r="D140" s="3">
        <v>793.32503691053773</v>
      </c>
      <c r="E140" s="3">
        <v>1.7742104070538209</v>
      </c>
      <c r="F140" s="3">
        <v>35.164735909518889</v>
      </c>
      <c r="G140" s="3">
        <v>0.57428951275305495</v>
      </c>
      <c r="H140" s="3">
        <v>12.305936389597511</v>
      </c>
    </row>
    <row r="141" spans="1:8" x14ac:dyDescent="0.3">
      <c r="A141" s="3">
        <v>140</v>
      </c>
      <c r="B141" s="3" t="s">
        <v>9</v>
      </c>
      <c r="C141" s="3">
        <v>85.668320517084595</v>
      </c>
      <c r="D141" s="3">
        <v>803.70708038690043</v>
      </c>
      <c r="E141" s="3">
        <v>5.0574712079927</v>
      </c>
      <c r="F141" s="3">
        <v>40.466566465506247</v>
      </c>
      <c r="G141" s="3">
        <v>-0.1156903861764913</v>
      </c>
      <c r="H141" s="3">
        <v>16.283599462828938</v>
      </c>
    </row>
    <row r="142" spans="1:8" x14ac:dyDescent="0.3">
      <c r="A142" s="3">
        <v>141</v>
      </c>
      <c r="B142" s="3" t="s">
        <v>9</v>
      </c>
      <c r="C142" s="3">
        <v>92.105353006124133</v>
      </c>
      <c r="D142" s="3">
        <v>796.27686650957457</v>
      </c>
      <c r="E142" s="3">
        <v>4.1348057674587322</v>
      </c>
      <c r="F142" s="3">
        <v>31.932958014274249</v>
      </c>
      <c r="G142" s="3">
        <v>0.54421854943140535</v>
      </c>
      <c r="H142" s="3">
        <v>11.314666294463249</v>
      </c>
    </row>
    <row r="143" spans="1:8" x14ac:dyDescent="0.3">
      <c r="A143" s="3">
        <v>142</v>
      </c>
      <c r="B143" s="3" t="s">
        <v>9</v>
      </c>
      <c r="C143" s="3">
        <v>89.213407531792598</v>
      </c>
      <c r="D143" s="3">
        <v>801.36430780694786</v>
      </c>
      <c r="E143" s="3">
        <v>4.970786738132694</v>
      </c>
      <c r="F143" s="3">
        <v>36.8183907843068</v>
      </c>
      <c r="G143" s="3">
        <v>5.5798978342073573</v>
      </c>
      <c r="H143" s="3">
        <v>13.57315492736646</v>
      </c>
    </row>
    <row r="144" spans="1:8" x14ac:dyDescent="0.3">
      <c r="A144" s="3">
        <v>143</v>
      </c>
      <c r="B144" s="3" t="s">
        <v>9</v>
      </c>
      <c r="C144" s="3">
        <v>85.283567522563544</v>
      </c>
      <c r="D144" s="3">
        <v>801.97970791442788</v>
      </c>
      <c r="E144" s="3">
        <v>9.1487800856909818</v>
      </c>
      <c r="F144" s="3">
        <v>34.733208297647998</v>
      </c>
      <c r="G144" s="3">
        <v>-0.54617975374610839</v>
      </c>
      <c r="H144" s="3">
        <v>19.849732911440849</v>
      </c>
    </row>
    <row r="145" spans="1:8" x14ac:dyDescent="0.3">
      <c r="A145" s="3">
        <v>144</v>
      </c>
      <c r="B145" s="3" t="s">
        <v>9</v>
      </c>
      <c r="C145" s="3">
        <v>85.455997038654743</v>
      </c>
      <c r="D145" s="3">
        <v>799.40033051569571</v>
      </c>
      <c r="E145" s="3">
        <v>3.9932475910822611</v>
      </c>
      <c r="F145" s="3">
        <v>34.217503268498227</v>
      </c>
      <c r="G145" s="3">
        <v>-1.1492927871356891</v>
      </c>
      <c r="H145" s="3">
        <v>19.350383853991332</v>
      </c>
    </row>
    <row r="146" spans="1:8" x14ac:dyDescent="0.3">
      <c r="A146" s="3">
        <v>145</v>
      </c>
      <c r="B146" s="3" t="s">
        <v>9</v>
      </c>
      <c r="C146" s="3">
        <v>85.195391479276225</v>
      </c>
      <c r="D146" s="3">
        <v>798.06465812942065</v>
      </c>
      <c r="E146" s="3">
        <v>2.62214347215592</v>
      </c>
      <c r="F146" s="3">
        <v>36.392273701557137</v>
      </c>
      <c r="G146" s="3">
        <v>-3.3589619848315349</v>
      </c>
      <c r="H146" s="3">
        <v>18.327056266400511</v>
      </c>
    </row>
    <row r="147" spans="1:8" x14ac:dyDescent="0.3">
      <c r="A147" s="3">
        <v>146</v>
      </c>
      <c r="B147" s="3" t="s">
        <v>9</v>
      </c>
      <c r="C147" s="3">
        <v>88.407280433489092</v>
      </c>
      <c r="D147" s="3">
        <v>800.49596306372609</v>
      </c>
      <c r="E147" s="3">
        <v>-4.6318993317268617</v>
      </c>
      <c r="F147" s="3">
        <v>31.938798227948212</v>
      </c>
      <c r="G147" s="3">
        <v>-1.2170942448337481</v>
      </c>
      <c r="H147" s="3">
        <v>13.287288341009029</v>
      </c>
    </row>
    <row r="148" spans="1:8" x14ac:dyDescent="0.3">
      <c r="A148" s="3">
        <v>147</v>
      </c>
      <c r="B148" s="3" t="s">
        <v>9</v>
      </c>
      <c r="C148" s="3">
        <v>85.614733245012303</v>
      </c>
      <c r="D148" s="3">
        <v>801.31645610214332</v>
      </c>
      <c r="E148" s="3">
        <v>10.07514200973835</v>
      </c>
      <c r="F148" s="3">
        <v>31.05964725044478</v>
      </c>
      <c r="G148" s="3">
        <v>-2.2985541221032162</v>
      </c>
      <c r="H148" s="3">
        <v>9.3557055891733381</v>
      </c>
    </row>
    <row r="149" spans="1:8" x14ac:dyDescent="0.3">
      <c r="A149" s="3">
        <v>148</v>
      </c>
      <c r="B149" s="3" t="s">
        <v>9</v>
      </c>
      <c r="C149" s="3">
        <v>92.063750318927475</v>
      </c>
      <c r="D149" s="3">
        <v>802.64990845984607</v>
      </c>
      <c r="E149" s="3">
        <v>0.55196953461107645</v>
      </c>
      <c r="F149" s="3">
        <v>33.51655737354973</v>
      </c>
      <c r="G149" s="3">
        <v>2.423838588744887</v>
      </c>
      <c r="H149" s="3">
        <v>11.472905447927531</v>
      </c>
    </row>
    <row r="150" spans="1:8" x14ac:dyDescent="0.3">
      <c r="A150" s="3">
        <v>149</v>
      </c>
      <c r="B150" s="3" t="s">
        <v>9</v>
      </c>
      <c r="C150" s="3">
        <v>96.300326821577016</v>
      </c>
      <c r="D150" s="3">
        <v>793.84298904829416</v>
      </c>
      <c r="E150" s="3">
        <v>9.124204145286182</v>
      </c>
      <c r="F150" s="3">
        <v>40.255271449266353</v>
      </c>
      <c r="G150" s="3">
        <v>-1.3890127380236299</v>
      </c>
      <c r="H150" s="3">
        <v>17.857669573882561</v>
      </c>
    </row>
    <row r="151" spans="1:8" x14ac:dyDescent="0.3">
      <c r="A151" s="3">
        <v>150</v>
      </c>
      <c r="B151" s="3" t="s">
        <v>9</v>
      </c>
      <c r="C151" s="3">
        <v>86.138908571894461</v>
      </c>
      <c r="D151" s="3">
        <v>795.09086219582298</v>
      </c>
      <c r="E151" s="3">
        <v>3.1239307040149629</v>
      </c>
      <c r="F151" s="3">
        <v>35.167294323837559</v>
      </c>
      <c r="G151" s="3">
        <v>2.1121261050844078</v>
      </c>
      <c r="H151" s="3">
        <v>14.12829634150474</v>
      </c>
    </row>
    <row r="152" spans="1:8" x14ac:dyDescent="0.3">
      <c r="A152" s="3">
        <v>151</v>
      </c>
      <c r="B152" s="3" t="s">
        <v>9</v>
      </c>
      <c r="C152" s="3">
        <v>92.363216542425533</v>
      </c>
      <c r="D152" s="3">
        <v>804.29120702356454</v>
      </c>
      <c r="E152" s="3">
        <v>6.6152905966903814</v>
      </c>
      <c r="F152" s="3">
        <v>35.99430319468366</v>
      </c>
      <c r="G152" s="3">
        <v>0.76071753645623841</v>
      </c>
      <c r="H152" s="3">
        <v>8.5121755632960596</v>
      </c>
    </row>
    <row r="153" spans="1:8" x14ac:dyDescent="0.3">
      <c r="A153" s="3">
        <v>152</v>
      </c>
      <c r="B153" s="3" t="s">
        <v>9</v>
      </c>
      <c r="C153" s="3">
        <v>92.307126723002725</v>
      </c>
      <c r="D153" s="3">
        <v>803.13988654133459</v>
      </c>
      <c r="E153" s="3">
        <v>1.670869036471283</v>
      </c>
      <c r="F153" s="3">
        <v>34.430460086967379</v>
      </c>
      <c r="G153" s="3">
        <v>-3.1006865397324122</v>
      </c>
      <c r="H153" s="3">
        <v>14.45943753685061</v>
      </c>
    </row>
    <row r="154" spans="1:8" x14ac:dyDescent="0.3">
      <c r="A154" s="3">
        <v>153</v>
      </c>
      <c r="B154" s="3" t="s">
        <v>9</v>
      </c>
      <c r="C154" s="3">
        <v>90.996607736850351</v>
      </c>
      <c r="D154" s="3">
        <v>801.30586684672301</v>
      </c>
      <c r="E154" s="3">
        <v>3.5344122640943758</v>
      </c>
      <c r="F154" s="3">
        <v>36.411478195861477</v>
      </c>
      <c r="G154" s="3">
        <v>-1.1718233571680929</v>
      </c>
      <c r="H154" s="3">
        <v>19.230717663373731</v>
      </c>
    </row>
    <row r="155" spans="1:8" x14ac:dyDescent="0.3">
      <c r="A155" s="3">
        <v>154</v>
      </c>
      <c r="B155" s="3" t="s">
        <v>9</v>
      </c>
      <c r="C155" s="3">
        <v>86.974870175168974</v>
      </c>
      <c r="D155" s="3">
        <v>802.14553522133315</v>
      </c>
      <c r="E155" s="3">
        <v>2.641873938926786</v>
      </c>
      <c r="F155" s="3">
        <v>32.144961370948558</v>
      </c>
      <c r="G155" s="3">
        <v>3.8553373651730318</v>
      </c>
      <c r="H155" s="3">
        <v>16.930405921558599</v>
      </c>
    </row>
    <row r="156" spans="1:8" x14ac:dyDescent="0.3">
      <c r="A156" s="3">
        <v>155</v>
      </c>
      <c r="B156" s="3" t="s">
        <v>9</v>
      </c>
      <c r="C156" s="3">
        <v>89.641642180108022</v>
      </c>
      <c r="D156" s="3">
        <v>802.75152475292305</v>
      </c>
      <c r="E156" s="3">
        <v>1.4416379018795129</v>
      </c>
      <c r="F156" s="3">
        <v>38.473731399705933</v>
      </c>
      <c r="G156" s="3">
        <v>3.909228257863703</v>
      </c>
      <c r="H156" s="3">
        <v>12.53622436941173</v>
      </c>
    </row>
    <row r="157" spans="1:8" x14ac:dyDescent="0.3">
      <c r="A157" s="3">
        <v>156</v>
      </c>
      <c r="B157" s="3" t="s">
        <v>9</v>
      </c>
      <c r="C157" s="3">
        <v>89.158813994489265</v>
      </c>
      <c r="D157" s="3">
        <v>792.01723160460301</v>
      </c>
      <c r="E157" s="3">
        <v>1.638818526132519</v>
      </c>
      <c r="F157" s="3">
        <v>36.754115780724057</v>
      </c>
      <c r="G157" s="3">
        <v>7.216719822901883</v>
      </c>
      <c r="H157" s="3">
        <v>10.362250043804931</v>
      </c>
    </row>
    <row r="158" spans="1:8" x14ac:dyDescent="0.3">
      <c r="A158" s="3">
        <v>157</v>
      </c>
      <c r="B158" s="3" t="s">
        <v>9</v>
      </c>
      <c r="C158" s="3">
        <v>91.688968599661436</v>
      </c>
      <c r="D158" s="3">
        <v>803.33083128991643</v>
      </c>
      <c r="E158" s="3">
        <v>5.0385030075327633</v>
      </c>
      <c r="F158" s="3">
        <v>32.580641531924883</v>
      </c>
      <c r="G158" s="3">
        <v>1.1892590748006571</v>
      </c>
      <c r="H158" s="3">
        <v>12.52035832308963</v>
      </c>
    </row>
    <row r="159" spans="1:8" x14ac:dyDescent="0.3">
      <c r="A159" s="3">
        <v>158</v>
      </c>
      <c r="B159" s="3" t="s">
        <v>9</v>
      </c>
      <c r="C159" s="3">
        <v>88.882683731688516</v>
      </c>
      <c r="D159" s="3">
        <v>798.54503721031301</v>
      </c>
      <c r="E159" s="3">
        <v>1.3956255590855009</v>
      </c>
      <c r="F159" s="3">
        <v>35.163659737435978</v>
      </c>
      <c r="G159" s="3">
        <v>-3.287480441946419</v>
      </c>
      <c r="H159" s="3">
        <v>15.10358301396457</v>
      </c>
    </row>
    <row r="160" spans="1:8" x14ac:dyDescent="0.3">
      <c r="A160" s="3">
        <v>159</v>
      </c>
      <c r="B160" s="3" t="s">
        <v>9</v>
      </c>
      <c r="C160" s="3">
        <v>92.930920160056857</v>
      </c>
      <c r="D160" s="3">
        <v>800.69185049189366</v>
      </c>
      <c r="E160" s="3">
        <v>-4.1130474833224007</v>
      </c>
      <c r="F160" s="3">
        <v>37.148994858497367</v>
      </c>
      <c r="G160" s="3">
        <v>-1.1052510810454781</v>
      </c>
      <c r="H160" s="3">
        <v>17.664221102736171</v>
      </c>
    </row>
    <row r="161" spans="1:8" x14ac:dyDescent="0.3">
      <c r="A161" s="3">
        <v>160</v>
      </c>
      <c r="B161" s="3" t="s">
        <v>9</v>
      </c>
      <c r="C161" s="3">
        <v>88.876257426698956</v>
      </c>
      <c r="D161" s="3">
        <v>799.11452659734925</v>
      </c>
      <c r="E161" s="3">
        <v>1.4123322535105169</v>
      </c>
      <c r="F161" s="3">
        <v>36.673192946163809</v>
      </c>
      <c r="G161" s="3">
        <v>2.4254655145204449</v>
      </c>
      <c r="H161" s="3">
        <v>9.1801795356292324</v>
      </c>
    </row>
    <row r="162" spans="1:8" x14ac:dyDescent="0.3">
      <c r="A162" s="3">
        <v>161</v>
      </c>
      <c r="B162" s="3" t="s">
        <v>9</v>
      </c>
      <c r="C162" s="3">
        <v>93.158134396737992</v>
      </c>
      <c r="D162" s="3">
        <v>802.61589486223625</v>
      </c>
      <c r="E162" s="3">
        <v>3.619371816608822</v>
      </c>
      <c r="F162" s="3">
        <v>39.445802047630643</v>
      </c>
      <c r="G162" s="3">
        <v>6.9004090046841666</v>
      </c>
      <c r="H162" s="3">
        <v>18.069605265822371</v>
      </c>
    </row>
    <row r="163" spans="1:8" x14ac:dyDescent="0.3">
      <c r="A163" s="3">
        <v>162</v>
      </c>
      <c r="B163" s="3" t="s">
        <v>9</v>
      </c>
      <c r="C163" s="3">
        <v>86.852468980001802</v>
      </c>
      <c r="D163" s="3">
        <v>798.95458265313312</v>
      </c>
      <c r="E163" s="3">
        <v>3.8493671490543191</v>
      </c>
      <c r="F163" s="3">
        <v>33.161036735315449</v>
      </c>
      <c r="G163" s="3">
        <v>1.530027370319168</v>
      </c>
      <c r="H163" s="3">
        <v>15.01637317976407</v>
      </c>
    </row>
    <row r="164" spans="1:8" x14ac:dyDescent="0.3">
      <c r="A164" s="3">
        <v>163</v>
      </c>
      <c r="B164" s="3" t="s">
        <v>9</v>
      </c>
      <c r="C164" s="3">
        <v>86.219534265725656</v>
      </c>
      <c r="D164" s="3">
        <v>801.55551129766479</v>
      </c>
      <c r="E164" s="3">
        <v>3.8497034524323022</v>
      </c>
      <c r="F164" s="3">
        <v>38.348409846471178</v>
      </c>
      <c r="G164" s="3">
        <v>4.6211604753854081</v>
      </c>
      <c r="H164" s="3">
        <v>16.70933690881748</v>
      </c>
    </row>
    <row r="165" spans="1:8" x14ac:dyDescent="0.3">
      <c r="A165" s="3">
        <v>164</v>
      </c>
      <c r="B165" s="3" t="s">
        <v>9</v>
      </c>
      <c r="C165" s="3">
        <v>99.723119804827206</v>
      </c>
      <c r="D165" s="3">
        <v>798.82794506408311</v>
      </c>
      <c r="E165" s="3">
        <v>-3.0763045626072438</v>
      </c>
      <c r="F165" s="3">
        <v>38.109644029823663</v>
      </c>
      <c r="G165" s="3">
        <v>3.5042439140767838</v>
      </c>
      <c r="H165" s="3">
        <v>10.04023331029539</v>
      </c>
    </row>
    <row r="166" spans="1:8" x14ac:dyDescent="0.3">
      <c r="A166" s="3">
        <v>165</v>
      </c>
      <c r="B166" s="3" t="s">
        <v>9</v>
      </c>
      <c r="C166" s="3">
        <v>88.749427235518709</v>
      </c>
      <c r="D166" s="3">
        <v>796.72163837269545</v>
      </c>
      <c r="E166" s="3">
        <v>3.1062261740335821</v>
      </c>
      <c r="F166" s="3">
        <v>34.512550604291427</v>
      </c>
      <c r="G166" s="3">
        <v>-2.304274866351999</v>
      </c>
      <c r="H166" s="3">
        <v>13.000036859633459</v>
      </c>
    </row>
    <row r="167" spans="1:8" x14ac:dyDescent="0.3">
      <c r="A167" s="3">
        <v>166</v>
      </c>
      <c r="B167" s="3" t="s">
        <v>9</v>
      </c>
      <c r="C167" s="3">
        <v>90.89468277462214</v>
      </c>
      <c r="D167" s="3">
        <v>803.63003153132081</v>
      </c>
      <c r="E167" s="3">
        <v>4.9035776298411911</v>
      </c>
      <c r="F167" s="3">
        <v>32.072219921534341</v>
      </c>
      <c r="G167" s="3">
        <v>0.68666204320542412</v>
      </c>
      <c r="H167" s="3">
        <v>13.65529743220343</v>
      </c>
    </row>
    <row r="168" spans="1:8" x14ac:dyDescent="0.3">
      <c r="A168" s="3">
        <v>167</v>
      </c>
      <c r="B168" s="3" t="s">
        <v>9</v>
      </c>
      <c r="C168" s="3">
        <v>91.909709022101552</v>
      </c>
      <c r="D168" s="3">
        <v>802.22270003382278</v>
      </c>
      <c r="E168" s="3">
        <v>5.8297360444029707</v>
      </c>
      <c r="F168" s="3">
        <v>31.73256442734645</v>
      </c>
      <c r="G168" s="3">
        <v>5.1157846090430494</v>
      </c>
      <c r="H168" s="3">
        <v>18.131674044927081</v>
      </c>
    </row>
    <row r="169" spans="1:8" x14ac:dyDescent="0.3">
      <c r="A169" s="3">
        <v>168</v>
      </c>
      <c r="B169" s="3" t="s">
        <v>9</v>
      </c>
      <c r="C169" s="3">
        <v>88.548658122873775</v>
      </c>
      <c r="D169" s="3">
        <v>805.17278671746931</v>
      </c>
      <c r="E169" s="3">
        <v>1.325116186867652</v>
      </c>
      <c r="F169" s="3">
        <v>36.373360873834912</v>
      </c>
      <c r="G169" s="3">
        <v>3.8282883287877412</v>
      </c>
      <c r="H169" s="3">
        <v>18.084522142186248</v>
      </c>
    </row>
    <row r="170" spans="1:8" x14ac:dyDescent="0.3">
      <c r="A170" s="3">
        <v>169</v>
      </c>
      <c r="B170" s="3" t="s">
        <v>9</v>
      </c>
      <c r="C170" s="3">
        <v>91.550586132940822</v>
      </c>
      <c r="D170" s="3">
        <v>800.19546179773795</v>
      </c>
      <c r="E170" s="3">
        <v>1.034322241451596</v>
      </c>
      <c r="F170" s="3">
        <v>34.786619798837307</v>
      </c>
      <c r="G170" s="3">
        <v>2.5913884247033931</v>
      </c>
      <c r="H170" s="3">
        <v>16.305271377745012</v>
      </c>
    </row>
    <row r="171" spans="1:8" x14ac:dyDescent="0.3">
      <c r="A171" s="3">
        <v>170</v>
      </c>
      <c r="B171" s="3" t="s">
        <v>9</v>
      </c>
      <c r="C171" s="3">
        <v>91.106893582155251</v>
      </c>
      <c r="D171" s="3">
        <v>803.37500823748451</v>
      </c>
      <c r="E171" s="3">
        <v>6.4635134956341176</v>
      </c>
      <c r="F171" s="3">
        <v>40.337308000554351</v>
      </c>
      <c r="G171" s="3">
        <v>2.631342736130637</v>
      </c>
      <c r="H171" s="3">
        <v>19.812636544871651</v>
      </c>
    </row>
    <row r="172" spans="1:8" x14ac:dyDescent="0.3">
      <c r="A172" s="3">
        <v>171</v>
      </c>
      <c r="B172" s="3" t="s">
        <v>9</v>
      </c>
      <c r="C172" s="3">
        <v>89.353858477074922</v>
      </c>
      <c r="D172" s="3">
        <v>805.92625716205725</v>
      </c>
      <c r="E172" s="3">
        <v>-3.0037841373379588</v>
      </c>
      <c r="F172" s="3">
        <v>36.605413881488623</v>
      </c>
      <c r="G172" s="3">
        <v>-0.27421590062820678</v>
      </c>
      <c r="H172" s="3">
        <v>13.4537664007639</v>
      </c>
    </row>
    <row r="173" spans="1:8" x14ac:dyDescent="0.3">
      <c r="A173" s="3">
        <v>172</v>
      </c>
      <c r="B173" s="3" t="s">
        <v>9</v>
      </c>
      <c r="C173" s="3">
        <v>90.195879100575951</v>
      </c>
      <c r="D173" s="3">
        <v>799.15555365488308</v>
      </c>
      <c r="E173" s="3">
        <v>0.68951006926062552</v>
      </c>
      <c r="F173" s="3">
        <v>33.884165374509507</v>
      </c>
      <c r="G173" s="3">
        <v>-2.7581559400326059</v>
      </c>
      <c r="H173" s="3">
        <v>18.037611581321769</v>
      </c>
    </row>
    <row r="174" spans="1:8" x14ac:dyDescent="0.3">
      <c r="A174" s="3">
        <v>173</v>
      </c>
      <c r="B174" s="3" t="s">
        <v>9</v>
      </c>
      <c r="C174" s="3">
        <v>89.897798238784603</v>
      </c>
      <c r="D174" s="3">
        <v>796.0311466617344</v>
      </c>
      <c r="E174" s="3">
        <v>3.3723862380723642</v>
      </c>
      <c r="F174" s="3">
        <v>31.923373254508661</v>
      </c>
      <c r="G174" s="3">
        <v>5.0862773724939219</v>
      </c>
      <c r="H174" s="3">
        <v>14.89217991062784</v>
      </c>
    </row>
    <row r="175" spans="1:8" x14ac:dyDescent="0.3">
      <c r="A175" s="3">
        <v>174</v>
      </c>
      <c r="B175" s="3" t="s">
        <v>9</v>
      </c>
      <c r="C175" s="3">
        <v>96.385355697048539</v>
      </c>
      <c r="D175" s="3">
        <v>799.2819452985857</v>
      </c>
      <c r="E175" s="3">
        <v>-2.8533212961436791</v>
      </c>
      <c r="F175" s="3">
        <v>33.252794976184241</v>
      </c>
      <c r="G175" s="3">
        <v>-3.0606584750007859</v>
      </c>
      <c r="H175" s="3">
        <v>12.99797371147077</v>
      </c>
    </row>
    <row r="176" spans="1:8" x14ac:dyDescent="0.3">
      <c r="A176" s="3">
        <v>175</v>
      </c>
      <c r="B176" s="3" t="s">
        <v>9</v>
      </c>
      <c r="C176" s="3">
        <v>87.775991711181518</v>
      </c>
      <c r="D176" s="3">
        <v>799.3578762800438</v>
      </c>
      <c r="E176" s="3">
        <v>2.838883587295272</v>
      </c>
      <c r="F176" s="3">
        <v>36.028665178691988</v>
      </c>
      <c r="G176" s="3">
        <v>-1.6166877591174891</v>
      </c>
      <c r="H176" s="3">
        <v>17.770140114992511</v>
      </c>
    </row>
    <row r="177" spans="1:8" x14ac:dyDescent="0.3">
      <c r="A177" s="3">
        <v>176</v>
      </c>
      <c r="B177" s="3" t="s">
        <v>9</v>
      </c>
      <c r="C177" s="3">
        <v>86.712011198776011</v>
      </c>
      <c r="D177" s="3">
        <v>800.45504151352793</v>
      </c>
      <c r="E177" s="3">
        <v>7.6335920631565788</v>
      </c>
      <c r="F177" s="3">
        <v>33.647196058830048</v>
      </c>
      <c r="G177" s="3">
        <v>3.0868949775595209</v>
      </c>
      <c r="H177" s="3">
        <v>19.1433009925485</v>
      </c>
    </row>
    <row r="178" spans="1:8" x14ac:dyDescent="0.3">
      <c r="A178" s="3">
        <v>177</v>
      </c>
      <c r="B178" s="3" t="s">
        <v>9</v>
      </c>
      <c r="C178" s="3">
        <v>90.113365197513232</v>
      </c>
      <c r="D178" s="3">
        <v>805.13691493195779</v>
      </c>
      <c r="E178" s="3">
        <v>1.9878180396909779</v>
      </c>
      <c r="F178" s="3">
        <v>36.54269036069207</v>
      </c>
      <c r="G178" s="3">
        <v>-2.5865836481688032</v>
      </c>
      <c r="H178" s="3">
        <v>17.634751248554551</v>
      </c>
    </row>
    <row r="179" spans="1:8" x14ac:dyDescent="0.3">
      <c r="A179" s="3">
        <v>178</v>
      </c>
      <c r="B179" s="3" t="s">
        <v>9</v>
      </c>
      <c r="C179" s="3">
        <v>90.931442248329418</v>
      </c>
      <c r="D179" s="3">
        <v>799.02156832248397</v>
      </c>
      <c r="E179" s="3">
        <v>1.1646379251092409</v>
      </c>
      <c r="F179" s="3">
        <v>33.996985843490663</v>
      </c>
      <c r="G179" s="3">
        <v>-0.45561123981837542</v>
      </c>
      <c r="H179" s="3">
        <v>13.471789633733209</v>
      </c>
    </row>
    <row r="180" spans="1:8" x14ac:dyDescent="0.3">
      <c r="A180" s="3">
        <v>179</v>
      </c>
      <c r="B180" s="3" t="s">
        <v>9</v>
      </c>
      <c r="C180" s="3">
        <v>91.309570436730553</v>
      </c>
      <c r="D180" s="3">
        <v>801.11901396741473</v>
      </c>
      <c r="E180" s="3">
        <v>3.424735142102163</v>
      </c>
      <c r="F180" s="3">
        <v>34.683320273616573</v>
      </c>
      <c r="G180" s="3">
        <v>-2.3483985203474331</v>
      </c>
      <c r="H180" s="3">
        <v>13.5906370975347</v>
      </c>
    </row>
    <row r="181" spans="1:8" x14ac:dyDescent="0.3">
      <c r="A181" s="3">
        <v>180</v>
      </c>
      <c r="B181" s="3" t="s">
        <v>9</v>
      </c>
      <c r="C181" s="3">
        <v>88.624904001866682</v>
      </c>
      <c r="D181" s="3">
        <v>799.31694780531336</v>
      </c>
      <c r="E181" s="3">
        <v>1.16278348763808</v>
      </c>
      <c r="F181" s="3">
        <v>32.808470981576519</v>
      </c>
      <c r="G181" s="3">
        <v>3.0619906731868509</v>
      </c>
      <c r="H181" s="3">
        <v>19.133027540418009</v>
      </c>
    </row>
    <row r="182" spans="1:8" x14ac:dyDescent="0.3">
      <c r="A182" s="3">
        <v>181</v>
      </c>
      <c r="B182" s="3" t="s">
        <v>9</v>
      </c>
      <c r="C182" s="3">
        <v>86.810021598086422</v>
      </c>
      <c r="D182" s="3">
        <v>800.06135212557513</v>
      </c>
      <c r="E182" s="3">
        <v>4.4402011222371947</v>
      </c>
      <c r="F182" s="3">
        <v>40.715130754726111</v>
      </c>
      <c r="G182" s="3">
        <v>2.538939049914287</v>
      </c>
      <c r="H182" s="3">
        <v>16.05847921925324</v>
      </c>
    </row>
    <row r="183" spans="1:8" x14ac:dyDescent="0.3">
      <c r="A183" s="3">
        <v>182</v>
      </c>
      <c r="B183" s="3" t="s">
        <v>9</v>
      </c>
      <c r="C183" s="3">
        <v>93.789555528268465</v>
      </c>
      <c r="D183" s="3">
        <v>800.94217299051877</v>
      </c>
      <c r="E183" s="3">
        <v>4.713306393349086</v>
      </c>
      <c r="F183" s="3">
        <v>35.997865194411183</v>
      </c>
      <c r="G183" s="3">
        <v>2.4656540798210629</v>
      </c>
      <c r="H183" s="3">
        <v>17.488721937963358</v>
      </c>
    </row>
    <row r="184" spans="1:8" x14ac:dyDescent="0.3">
      <c r="A184" s="3">
        <v>183</v>
      </c>
      <c r="B184" s="3" t="s">
        <v>9</v>
      </c>
      <c r="C184" s="3">
        <v>88.951048836139336</v>
      </c>
      <c r="D184" s="3">
        <v>803.98464408811094</v>
      </c>
      <c r="E184" s="3">
        <v>2.0080749836903631</v>
      </c>
      <c r="F184" s="3">
        <v>35.691900921498352</v>
      </c>
      <c r="G184" s="3">
        <v>2.5273943164369101</v>
      </c>
      <c r="H184" s="3">
        <v>13.98389404900708</v>
      </c>
    </row>
    <row r="185" spans="1:8" x14ac:dyDescent="0.3">
      <c r="A185" s="3">
        <v>184</v>
      </c>
      <c r="B185" s="3" t="s">
        <v>9</v>
      </c>
      <c r="C185" s="3">
        <v>87.403461412039874</v>
      </c>
      <c r="D185" s="3">
        <v>800.36395513247237</v>
      </c>
      <c r="E185" s="3">
        <v>-1.5300764732491809</v>
      </c>
      <c r="F185" s="3">
        <v>29.924412755347799</v>
      </c>
      <c r="G185" s="3">
        <v>2.871737239136817</v>
      </c>
      <c r="H185" s="3">
        <v>18.783104809393951</v>
      </c>
    </row>
    <row r="186" spans="1:8" x14ac:dyDescent="0.3">
      <c r="A186" s="3">
        <v>185</v>
      </c>
      <c r="B186" s="3" t="s">
        <v>9</v>
      </c>
      <c r="C186" s="3">
        <v>89.291161293176714</v>
      </c>
      <c r="D186" s="3">
        <v>802.13852696009337</v>
      </c>
      <c r="E186" s="3">
        <v>-1.954662182377263</v>
      </c>
      <c r="F186" s="3">
        <v>36.979375698647978</v>
      </c>
      <c r="G186" s="3">
        <v>3.1180694759115508</v>
      </c>
      <c r="H186" s="3">
        <v>12.573734565113419</v>
      </c>
    </row>
    <row r="187" spans="1:8" x14ac:dyDescent="0.3">
      <c r="A187" s="3">
        <v>186</v>
      </c>
      <c r="B187" s="3" t="s">
        <v>9</v>
      </c>
      <c r="C187" s="3">
        <v>89.408472316954345</v>
      </c>
      <c r="D187" s="3">
        <v>802.3365800893506</v>
      </c>
      <c r="E187" s="3">
        <v>0.2210079030340493</v>
      </c>
      <c r="F187" s="3">
        <v>31.929129233360861</v>
      </c>
      <c r="G187" s="3">
        <v>-4.7059846700226649</v>
      </c>
      <c r="H187" s="3">
        <v>16.87605456259989</v>
      </c>
    </row>
    <row r="188" spans="1:8" x14ac:dyDescent="0.3">
      <c r="A188" s="3">
        <v>187</v>
      </c>
      <c r="B188" s="3" t="s">
        <v>9</v>
      </c>
      <c r="C188" s="3">
        <v>93.329760869140927</v>
      </c>
      <c r="D188" s="3">
        <v>802.74431981256691</v>
      </c>
      <c r="E188" s="3">
        <v>4.3921415016495056</v>
      </c>
      <c r="F188" s="3">
        <v>32.325435276937107</v>
      </c>
      <c r="G188" s="3">
        <v>0.75355091592039614</v>
      </c>
      <c r="H188" s="3">
        <v>12.548475103295671</v>
      </c>
    </row>
    <row r="189" spans="1:8" x14ac:dyDescent="0.3">
      <c r="A189" s="3">
        <v>188</v>
      </c>
      <c r="B189" s="3" t="s">
        <v>9</v>
      </c>
      <c r="C189" s="3">
        <v>90.254211876591583</v>
      </c>
      <c r="D189" s="3">
        <v>798.27681634344685</v>
      </c>
      <c r="E189" s="3">
        <v>-3.874615523970776</v>
      </c>
      <c r="F189" s="3">
        <v>37.755023513064948</v>
      </c>
      <c r="G189" s="3">
        <v>1.5373914376557021</v>
      </c>
      <c r="H189" s="3">
        <v>7.6122749502426963</v>
      </c>
    </row>
    <row r="190" spans="1:8" x14ac:dyDescent="0.3">
      <c r="A190" s="3">
        <v>189</v>
      </c>
      <c r="B190" s="3" t="s">
        <v>9</v>
      </c>
      <c r="C190" s="3">
        <v>92.262161355553559</v>
      </c>
      <c r="D190" s="3">
        <v>804.880643642584</v>
      </c>
      <c r="E190" s="3">
        <v>-3.6589754761976381</v>
      </c>
      <c r="F190" s="3">
        <v>33.641898060475313</v>
      </c>
      <c r="G190" s="3">
        <v>3.3740286079432789</v>
      </c>
      <c r="H190" s="3">
        <v>10.97112746796099</v>
      </c>
    </row>
    <row r="191" spans="1:8" x14ac:dyDescent="0.3">
      <c r="A191" s="3">
        <v>190</v>
      </c>
      <c r="B191" s="3" t="s">
        <v>9</v>
      </c>
      <c r="C191" s="3">
        <v>88.502123948483217</v>
      </c>
      <c r="D191" s="3">
        <v>798.85712978211791</v>
      </c>
      <c r="E191" s="3">
        <v>3.8660525719691467E-2</v>
      </c>
      <c r="F191" s="3">
        <v>29.75488315999046</v>
      </c>
      <c r="G191" s="3">
        <v>-2.3624582280158548</v>
      </c>
      <c r="H191" s="3">
        <v>15.408885597630491</v>
      </c>
    </row>
    <row r="192" spans="1:8" x14ac:dyDescent="0.3">
      <c r="A192" s="3">
        <v>191</v>
      </c>
      <c r="B192" s="3" t="s">
        <v>9</v>
      </c>
      <c r="C192" s="3">
        <v>90.643335928744804</v>
      </c>
      <c r="D192" s="3">
        <v>799.68264749705077</v>
      </c>
      <c r="E192" s="3">
        <v>3.1831845439417541</v>
      </c>
      <c r="F192" s="3">
        <v>40.309712329668073</v>
      </c>
      <c r="G192" s="3">
        <v>-0.29880056944773892</v>
      </c>
      <c r="H192" s="3">
        <v>17.648768248877481</v>
      </c>
    </row>
    <row r="193" spans="1:8" x14ac:dyDescent="0.3">
      <c r="A193" s="3">
        <v>192</v>
      </c>
      <c r="B193" s="3" t="s">
        <v>9</v>
      </c>
      <c r="C193" s="3">
        <v>89.02594226552749</v>
      </c>
      <c r="D193" s="3">
        <v>804.21215080314255</v>
      </c>
      <c r="E193" s="3">
        <v>-0.74069814449497651</v>
      </c>
      <c r="F193" s="3">
        <v>27.867779223822438</v>
      </c>
      <c r="G193" s="3">
        <v>-2.020928972253476</v>
      </c>
      <c r="H193" s="3">
        <v>9.7460937507155556</v>
      </c>
    </row>
    <row r="194" spans="1:8" x14ac:dyDescent="0.3">
      <c r="A194" s="3">
        <v>193</v>
      </c>
      <c r="B194" s="3" t="s">
        <v>9</v>
      </c>
      <c r="C194" s="3">
        <v>90.283750584520718</v>
      </c>
      <c r="D194" s="3">
        <v>803.88225171843669</v>
      </c>
      <c r="E194" s="3">
        <v>4.6602471112881778</v>
      </c>
      <c r="F194" s="3">
        <v>36.718434589578763</v>
      </c>
      <c r="G194" s="3">
        <v>4.3717206381290401</v>
      </c>
      <c r="H194" s="3">
        <v>11.24572659324142</v>
      </c>
    </row>
    <row r="195" spans="1:8" x14ac:dyDescent="0.3">
      <c r="A195" s="3">
        <v>194</v>
      </c>
      <c r="B195" s="3" t="s">
        <v>9</v>
      </c>
      <c r="C195" s="3">
        <v>87.313909926067382</v>
      </c>
      <c r="D195" s="3">
        <v>796.73002438276626</v>
      </c>
      <c r="E195" s="3">
        <v>3.0001099104655471</v>
      </c>
      <c r="F195" s="3">
        <v>38.051747747253827</v>
      </c>
      <c r="G195" s="3">
        <v>5.0372177496280024</v>
      </c>
      <c r="H195" s="3">
        <v>20.293637989726459</v>
      </c>
    </row>
    <row r="196" spans="1:8" x14ac:dyDescent="0.3">
      <c r="A196" s="3">
        <v>195</v>
      </c>
      <c r="B196" s="3" t="s">
        <v>9</v>
      </c>
      <c r="C196" s="3">
        <v>86.067595400016089</v>
      </c>
      <c r="D196" s="3">
        <v>797.38078699874757</v>
      </c>
      <c r="E196" s="3">
        <v>1.48808114528417</v>
      </c>
      <c r="F196" s="3">
        <v>33.107096400018399</v>
      </c>
      <c r="G196" s="3">
        <v>3.563030176077699</v>
      </c>
      <c r="H196" s="3">
        <v>13.69830195053021</v>
      </c>
    </row>
    <row r="197" spans="1:8" x14ac:dyDescent="0.3">
      <c r="A197" s="3">
        <v>196</v>
      </c>
      <c r="B197" s="3" t="s">
        <v>9</v>
      </c>
      <c r="C197" s="3">
        <v>95.991640154243896</v>
      </c>
      <c r="D197" s="3">
        <v>795.92576282188816</v>
      </c>
      <c r="E197" s="3">
        <v>4.4564844095953404</v>
      </c>
      <c r="F197" s="3">
        <v>36.332861154234656</v>
      </c>
      <c r="G197" s="3">
        <v>-2.4672101477309729</v>
      </c>
      <c r="H197" s="3">
        <v>16.5171003957918</v>
      </c>
    </row>
    <row r="198" spans="1:8" x14ac:dyDescent="0.3">
      <c r="A198" s="3">
        <v>197</v>
      </c>
      <c r="B198" s="3" t="s">
        <v>9</v>
      </c>
      <c r="C198" s="3">
        <v>91.802126471017246</v>
      </c>
      <c r="D198" s="3">
        <v>800.54554157785947</v>
      </c>
      <c r="E198" s="3">
        <v>3.1650954884581028</v>
      </c>
      <c r="F198" s="3">
        <v>36.317391165165667</v>
      </c>
      <c r="G198" s="3">
        <v>2.5558563502099609</v>
      </c>
      <c r="H198" s="3">
        <v>13.41919403586804</v>
      </c>
    </row>
    <row r="199" spans="1:8" x14ac:dyDescent="0.3">
      <c r="A199" s="3">
        <v>198</v>
      </c>
      <c r="B199" s="3" t="s">
        <v>9</v>
      </c>
      <c r="C199" s="3">
        <v>86.246185915125167</v>
      </c>
      <c r="D199" s="3">
        <v>800.4945226037554</v>
      </c>
      <c r="E199" s="3">
        <v>0.66219491836353139</v>
      </c>
      <c r="F199" s="3">
        <v>38.121869458743539</v>
      </c>
      <c r="G199" s="3">
        <v>4.6513475591427493</v>
      </c>
      <c r="H199" s="3">
        <v>14.10425134454549</v>
      </c>
    </row>
    <row r="200" spans="1:8" x14ac:dyDescent="0.3">
      <c r="A200" s="3">
        <v>199</v>
      </c>
      <c r="B200" s="3" t="s">
        <v>9</v>
      </c>
      <c r="C200" s="3">
        <v>88.166502249958739</v>
      </c>
      <c r="D200" s="3">
        <v>801.09234406206519</v>
      </c>
      <c r="E200" s="3">
        <v>2.69334480325448</v>
      </c>
      <c r="F200" s="3">
        <v>36.452298163857563</v>
      </c>
      <c r="G200" s="3">
        <v>1.7038229422093769</v>
      </c>
      <c r="H200" s="3">
        <v>15.26173261981571</v>
      </c>
    </row>
    <row r="201" spans="1:8" x14ac:dyDescent="0.3">
      <c r="A201" s="3">
        <v>200</v>
      </c>
      <c r="B201" s="3" t="s">
        <v>9</v>
      </c>
      <c r="C201" s="3">
        <v>86.443559746208066</v>
      </c>
      <c r="D201" s="3">
        <v>801.65647314265573</v>
      </c>
      <c r="E201" s="3">
        <v>3.9425400739327752</v>
      </c>
      <c r="F201" s="3">
        <v>34.265348662722417</v>
      </c>
      <c r="G201" s="3">
        <v>-0.49832799868790972</v>
      </c>
      <c r="H201" s="3">
        <v>15.032885528397021</v>
      </c>
    </row>
    <row r="202" spans="1:8" x14ac:dyDescent="0.3">
      <c r="A202" s="3">
        <v>201</v>
      </c>
      <c r="B202" s="3" t="s">
        <v>10</v>
      </c>
      <c r="C202" s="3">
        <v>98.596431046651162</v>
      </c>
      <c r="D202" s="3">
        <v>998.19432146204497</v>
      </c>
      <c r="E202" s="3">
        <v>2.5688500345861409</v>
      </c>
      <c r="F202" s="3">
        <v>32.747976173820632</v>
      </c>
      <c r="G202" s="3">
        <v>-2.2583547218340501</v>
      </c>
      <c r="H202" s="3">
        <v>11.422319366873801</v>
      </c>
    </row>
    <row r="203" spans="1:8" x14ac:dyDescent="0.3">
      <c r="A203" s="3">
        <v>202</v>
      </c>
      <c r="B203" s="3" t="s">
        <v>10</v>
      </c>
      <c r="C203" s="3">
        <v>95.937238929300534</v>
      </c>
      <c r="D203" s="3">
        <v>997.01890422670385</v>
      </c>
      <c r="E203" s="3">
        <v>-0.47403062384843642</v>
      </c>
      <c r="F203" s="3">
        <v>32.401867069529303</v>
      </c>
      <c r="G203" s="3">
        <v>-0.99590838668046766</v>
      </c>
      <c r="H203" s="3">
        <v>10.590610544568779</v>
      </c>
    </row>
    <row r="204" spans="1:8" x14ac:dyDescent="0.3">
      <c r="A204" s="3">
        <v>203</v>
      </c>
      <c r="B204" s="3" t="s">
        <v>10</v>
      </c>
      <c r="C204" s="3">
        <v>91.204564829910936</v>
      </c>
      <c r="D204" s="3">
        <v>1003.080355168225</v>
      </c>
      <c r="E204" s="3">
        <v>4.0656066151925749</v>
      </c>
      <c r="F204" s="3">
        <v>27.19029289759262</v>
      </c>
      <c r="G204" s="3">
        <v>3.144545067848016</v>
      </c>
      <c r="H204" s="3">
        <v>2.8564173306038292</v>
      </c>
    </row>
    <row r="205" spans="1:8" x14ac:dyDescent="0.3">
      <c r="A205" s="3">
        <v>204</v>
      </c>
      <c r="B205" s="3" t="s">
        <v>10</v>
      </c>
      <c r="C205" s="3">
        <v>93.629582177696264</v>
      </c>
      <c r="D205" s="3">
        <v>1002.253183907819</v>
      </c>
      <c r="E205" s="3">
        <v>4.9588086766758481</v>
      </c>
      <c r="F205" s="3">
        <v>25.79763769801281</v>
      </c>
      <c r="G205" s="3">
        <v>-0.29498330114578342</v>
      </c>
      <c r="H205" s="3">
        <v>17.605966501001109</v>
      </c>
    </row>
    <row r="206" spans="1:8" x14ac:dyDescent="0.3">
      <c r="A206" s="3">
        <v>205</v>
      </c>
      <c r="B206" s="3" t="s">
        <v>10</v>
      </c>
      <c r="C206" s="3">
        <v>90.756980156243415</v>
      </c>
      <c r="D206" s="3">
        <v>995.47250038801394</v>
      </c>
      <c r="E206" s="3">
        <v>2.32882366963001</v>
      </c>
      <c r="F206" s="3">
        <v>30.48083261997953</v>
      </c>
      <c r="G206" s="3">
        <v>1.682844819820263</v>
      </c>
      <c r="H206" s="3">
        <v>17.371272624729109</v>
      </c>
    </row>
    <row r="207" spans="1:8" x14ac:dyDescent="0.3">
      <c r="A207" s="3">
        <v>206</v>
      </c>
      <c r="B207" s="3" t="s">
        <v>10</v>
      </c>
      <c r="C207" s="3">
        <v>90.57125931615326</v>
      </c>
      <c r="D207" s="3">
        <v>999.71455764745212</v>
      </c>
      <c r="E207" s="3">
        <v>1.9323139873865609</v>
      </c>
      <c r="F207" s="3">
        <v>29.178112875674451</v>
      </c>
      <c r="G207" s="3">
        <v>4.8848373870109141</v>
      </c>
      <c r="H207" s="3">
        <v>8.6967547748423044</v>
      </c>
    </row>
    <row r="208" spans="1:8" x14ac:dyDescent="0.3">
      <c r="A208" s="3">
        <v>207</v>
      </c>
      <c r="B208" s="3" t="s">
        <v>10</v>
      </c>
      <c r="C208" s="3">
        <v>89.634191486449268</v>
      </c>
      <c r="D208" s="3">
        <v>997.31215653173047</v>
      </c>
      <c r="E208" s="3">
        <v>1.2731247576604861</v>
      </c>
      <c r="F208" s="3">
        <v>27.04338266231311</v>
      </c>
      <c r="G208" s="3">
        <v>2.735004821408364</v>
      </c>
      <c r="H208" s="3">
        <v>11.4956774336701</v>
      </c>
    </row>
    <row r="209" spans="1:8" x14ac:dyDescent="0.3">
      <c r="A209" s="3">
        <v>208</v>
      </c>
      <c r="B209" s="3" t="s">
        <v>10</v>
      </c>
      <c r="C209" s="3">
        <v>90.216148197621465</v>
      </c>
      <c r="D209" s="3">
        <v>993.78774678837408</v>
      </c>
      <c r="E209" s="3">
        <v>7.9842475389083631</v>
      </c>
      <c r="F209" s="3">
        <v>30.251792038545101</v>
      </c>
      <c r="G209" s="3">
        <v>5.0940183444206184</v>
      </c>
      <c r="H209" s="3">
        <v>16.125825914137479</v>
      </c>
    </row>
    <row r="210" spans="1:8" x14ac:dyDescent="0.3">
      <c r="A210" s="3">
        <v>209</v>
      </c>
      <c r="B210" s="3" t="s">
        <v>10</v>
      </c>
      <c r="C210" s="3">
        <v>96.952722402010068</v>
      </c>
      <c r="D210" s="3">
        <v>1000.450360393564</v>
      </c>
      <c r="E210" s="3">
        <v>2.3289465964073792</v>
      </c>
      <c r="F210" s="3">
        <v>26.040010420539279</v>
      </c>
      <c r="G210" s="3">
        <v>-4.1047394079812189</v>
      </c>
      <c r="H210" s="3">
        <v>14.994870069156599</v>
      </c>
    </row>
    <row r="211" spans="1:8" x14ac:dyDescent="0.3">
      <c r="A211" s="3">
        <v>210</v>
      </c>
      <c r="B211" s="3" t="s">
        <v>10</v>
      </c>
      <c r="C211" s="3">
        <v>91.837915624743673</v>
      </c>
      <c r="D211" s="3">
        <v>999.76236487222423</v>
      </c>
      <c r="E211" s="3">
        <v>1.025117913900168</v>
      </c>
      <c r="F211" s="3">
        <v>30.483679053978602</v>
      </c>
      <c r="G211" s="3">
        <v>0.15797116085862251</v>
      </c>
      <c r="H211" s="3">
        <v>15.82980485623732</v>
      </c>
    </row>
    <row r="212" spans="1:8" x14ac:dyDescent="0.3">
      <c r="A212" s="3">
        <v>211</v>
      </c>
      <c r="B212" s="3" t="s">
        <v>10</v>
      </c>
      <c r="C212" s="3">
        <v>92.35773570928275</v>
      </c>
      <c r="D212" s="3">
        <v>999.70789219746075</v>
      </c>
      <c r="E212" s="3">
        <v>-6.0237534065917631</v>
      </c>
      <c r="F212" s="3">
        <v>28.125214837374241</v>
      </c>
      <c r="G212" s="3">
        <v>1.1952040584765791</v>
      </c>
      <c r="H212" s="3">
        <v>8.7847592455206112</v>
      </c>
    </row>
    <row r="213" spans="1:8" x14ac:dyDescent="0.3">
      <c r="A213" s="3">
        <v>212</v>
      </c>
      <c r="B213" s="3" t="s">
        <v>10</v>
      </c>
      <c r="C213" s="3">
        <v>92.731062288797276</v>
      </c>
      <c r="D213" s="3">
        <v>1000.648457625404</v>
      </c>
      <c r="E213" s="3">
        <v>-3.1958452950915981</v>
      </c>
      <c r="F213" s="3">
        <v>32.871492822577437</v>
      </c>
      <c r="G213" s="3">
        <v>2.7357678748255441</v>
      </c>
      <c r="H213" s="3">
        <v>19.73180428859391</v>
      </c>
    </row>
    <row r="214" spans="1:8" x14ac:dyDescent="0.3">
      <c r="A214" s="3">
        <v>213</v>
      </c>
      <c r="B214" s="3" t="s">
        <v>10</v>
      </c>
      <c r="C214" s="3">
        <v>95.697427635456009</v>
      </c>
      <c r="D214" s="3">
        <v>1002.6473954931899</v>
      </c>
      <c r="E214" s="3">
        <v>1.2669803981683061</v>
      </c>
      <c r="F214" s="3">
        <v>37.273467423484597</v>
      </c>
      <c r="G214" s="3">
        <v>-2.507619864586911</v>
      </c>
      <c r="H214" s="3">
        <v>8.5996201206890177</v>
      </c>
    </row>
    <row r="215" spans="1:8" x14ac:dyDescent="0.3">
      <c r="A215" s="3">
        <v>214</v>
      </c>
      <c r="B215" s="3" t="s">
        <v>10</v>
      </c>
      <c r="C215" s="3">
        <v>90.451808507165666</v>
      </c>
      <c r="D215" s="3">
        <v>1000.61679251345</v>
      </c>
      <c r="E215" s="3">
        <v>2.1188821345292941</v>
      </c>
      <c r="F215" s="3">
        <v>27.252062268939621</v>
      </c>
      <c r="G215" s="3">
        <v>3.4185545663418662</v>
      </c>
      <c r="H215" s="3">
        <v>14.261749025649859</v>
      </c>
    </row>
    <row r="216" spans="1:8" x14ac:dyDescent="0.3">
      <c r="A216" s="3">
        <v>215</v>
      </c>
      <c r="B216" s="3" t="s">
        <v>10</v>
      </c>
      <c r="C216" s="3">
        <v>89.022478548823884</v>
      </c>
      <c r="D216" s="3">
        <v>998.15069247137944</v>
      </c>
      <c r="E216" s="3">
        <v>2.330617376584843</v>
      </c>
      <c r="F216" s="3">
        <v>33.172992512828927</v>
      </c>
      <c r="G216" s="3">
        <v>1.9221702284869999</v>
      </c>
      <c r="H216" s="3">
        <v>12.42382794133707</v>
      </c>
    </row>
    <row r="217" spans="1:8" x14ac:dyDescent="0.3">
      <c r="A217" s="3">
        <v>216</v>
      </c>
      <c r="B217" s="3" t="s">
        <v>10</v>
      </c>
      <c r="C217" s="3">
        <v>97.027090797209567</v>
      </c>
      <c r="D217" s="3">
        <v>997.79560224423619</v>
      </c>
      <c r="E217" s="3">
        <v>3.9645203413458532</v>
      </c>
      <c r="F217" s="3">
        <v>32.475449183304853</v>
      </c>
      <c r="G217" s="3">
        <v>1.79141804081415</v>
      </c>
      <c r="H217" s="3">
        <v>10.788869046113909</v>
      </c>
    </row>
    <row r="218" spans="1:8" x14ac:dyDescent="0.3">
      <c r="A218" s="3">
        <v>217</v>
      </c>
      <c r="B218" s="3" t="s">
        <v>10</v>
      </c>
      <c r="C218" s="3">
        <v>90.676510349284143</v>
      </c>
      <c r="D218" s="3">
        <v>999.60459162087648</v>
      </c>
      <c r="E218" s="3">
        <v>0.91754277203862999</v>
      </c>
      <c r="F218" s="3">
        <v>29.789417327083921</v>
      </c>
      <c r="G218" s="3">
        <v>2.525454374815137</v>
      </c>
      <c r="H218" s="3">
        <v>10.861752605456941</v>
      </c>
    </row>
    <row r="219" spans="1:8" x14ac:dyDescent="0.3">
      <c r="A219" s="3">
        <v>218</v>
      </c>
      <c r="B219" s="3" t="s">
        <v>10</v>
      </c>
      <c r="C219" s="3">
        <v>89.830802090180384</v>
      </c>
      <c r="D219" s="3">
        <v>1000.9300509597369</v>
      </c>
      <c r="E219" s="3">
        <v>5.1437663834476854</v>
      </c>
      <c r="F219" s="3">
        <v>28.63906087782896</v>
      </c>
      <c r="G219" s="3">
        <v>0.65092468036901674</v>
      </c>
      <c r="H219" s="3">
        <v>9.0258095624069909</v>
      </c>
    </row>
    <row r="220" spans="1:8" x14ac:dyDescent="0.3">
      <c r="A220" s="3">
        <v>219</v>
      </c>
      <c r="B220" s="3" t="s">
        <v>10</v>
      </c>
      <c r="C220" s="3">
        <v>88.291180643350117</v>
      </c>
      <c r="D220" s="3">
        <v>996.88095894189382</v>
      </c>
      <c r="E220" s="3">
        <v>-1.2645481286087339</v>
      </c>
      <c r="F220" s="3">
        <v>34.725923120512462</v>
      </c>
      <c r="G220" s="3">
        <v>3.776638295497341</v>
      </c>
      <c r="H220" s="3">
        <v>16.86797938727042</v>
      </c>
    </row>
    <row r="221" spans="1:8" x14ac:dyDescent="0.3">
      <c r="A221" s="3">
        <v>220</v>
      </c>
      <c r="B221" s="3" t="s">
        <v>10</v>
      </c>
      <c r="C221" s="3">
        <v>88.145852833046604</v>
      </c>
      <c r="D221" s="3">
        <v>999.44707339347281</v>
      </c>
      <c r="E221" s="3">
        <v>-2.125328161329199</v>
      </c>
      <c r="F221" s="3">
        <v>23.983626545291258</v>
      </c>
      <c r="G221" s="3">
        <v>2.94468932119447</v>
      </c>
      <c r="H221" s="3">
        <v>12.26853968328825</v>
      </c>
    </row>
    <row r="222" spans="1:8" x14ac:dyDescent="0.3">
      <c r="A222" s="3">
        <v>221</v>
      </c>
      <c r="B222" s="3" t="s">
        <v>10</v>
      </c>
      <c r="C222" s="3">
        <v>90.278079562106043</v>
      </c>
      <c r="D222" s="3">
        <v>1002.901801780504</v>
      </c>
      <c r="E222" s="3">
        <v>-2.1869585326614431</v>
      </c>
      <c r="F222" s="3">
        <v>28.07041562521901</v>
      </c>
      <c r="G222" s="3">
        <v>0.54937187749690208</v>
      </c>
      <c r="H222" s="3">
        <v>12.77765384764313</v>
      </c>
    </row>
    <row r="223" spans="1:8" x14ac:dyDescent="0.3">
      <c r="A223" s="3">
        <v>222</v>
      </c>
      <c r="B223" s="3" t="s">
        <v>10</v>
      </c>
      <c r="C223" s="3">
        <v>93.853957451499582</v>
      </c>
      <c r="D223" s="3">
        <v>999.67515972629656</v>
      </c>
      <c r="E223" s="3">
        <v>3.7268910725595541</v>
      </c>
      <c r="F223" s="3">
        <v>25.689469669026671</v>
      </c>
      <c r="G223" s="3">
        <v>4.1211310580220992</v>
      </c>
      <c r="H223" s="3">
        <v>12.62889849918311</v>
      </c>
    </row>
    <row r="224" spans="1:8" x14ac:dyDescent="0.3">
      <c r="A224" s="3">
        <v>223</v>
      </c>
      <c r="B224" s="3" t="s">
        <v>10</v>
      </c>
      <c r="C224" s="3">
        <v>95.329544416789162</v>
      </c>
      <c r="D224" s="3">
        <v>997.90473799721678</v>
      </c>
      <c r="E224" s="3">
        <v>1.2512401729823219</v>
      </c>
      <c r="F224" s="3">
        <v>34.185940316838227</v>
      </c>
      <c r="G224" s="3">
        <v>1.8776760548385449</v>
      </c>
      <c r="H224" s="3">
        <v>10.874487740817401</v>
      </c>
    </row>
    <row r="225" spans="1:8" x14ac:dyDescent="0.3">
      <c r="A225" s="3">
        <v>224</v>
      </c>
      <c r="B225" s="3" t="s">
        <v>10</v>
      </c>
      <c r="C225" s="3">
        <v>94.122765061506769</v>
      </c>
      <c r="D225" s="3">
        <v>999.17216449472335</v>
      </c>
      <c r="E225" s="3">
        <v>3.8694537654614969</v>
      </c>
      <c r="F225" s="3">
        <v>29.427889702065428</v>
      </c>
      <c r="G225" s="3">
        <v>3.0062541983183939</v>
      </c>
      <c r="H225" s="3">
        <v>8.597936265734857</v>
      </c>
    </row>
    <row r="226" spans="1:8" x14ac:dyDescent="0.3">
      <c r="A226" s="3">
        <v>225</v>
      </c>
      <c r="B226" s="3" t="s">
        <v>10</v>
      </c>
      <c r="C226" s="3">
        <v>90.909028108714239</v>
      </c>
      <c r="D226" s="3">
        <v>1003.343945636086</v>
      </c>
      <c r="E226" s="3">
        <v>0.69688073532874584</v>
      </c>
      <c r="F226" s="3">
        <v>28.42598640159099</v>
      </c>
      <c r="G226" s="3">
        <v>-0.78253292487266446</v>
      </c>
      <c r="H226" s="3">
        <v>12.76117892905188</v>
      </c>
    </row>
    <row r="227" spans="1:8" x14ac:dyDescent="0.3">
      <c r="A227" s="3">
        <v>226</v>
      </c>
      <c r="B227" s="3" t="s">
        <v>10</v>
      </c>
      <c r="C227" s="3">
        <v>92.179249812153799</v>
      </c>
      <c r="D227" s="3">
        <v>1001.650131883642</v>
      </c>
      <c r="E227" s="3">
        <v>-0.27567630663843801</v>
      </c>
      <c r="F227" s="3">
        <v>39.552133422198978</v>
      </c>
      <c r="G227" s="3">
        <v>5.7412955109577606</v>
      </c>
      <c r="H227" s="3">
        <v>5.7190816501232176</v>
      </c>
    </row>
    <row r="228" spans="1:8" x14ac:dyDescent="0.3">
      <c r="A228" s="3">
        <v>227</v>
      </c>
      <c r="B228" s="3" t="s">
        <v>10</v>
      </c>
      <c r="C228" s="3">
        <v>89.886210608959786</v>
      </c>
      <c r="D228" s="3">
        <v>1003.7100274002451</v>
      </c>
      <c r="E228" s="3">
        <v>0.39494227462048181</v>
      </c>
      <c r="F228" s="3">
        <v>29.849888196337119</v>
      </c>
      <c r="G228" s="3">
        <v>0.98803316695004884</v>
      </c>
      <c r="H228" s="3">
        <v>7.7442991714931573</v>
      </c>
    </row>
    <row r="229" spans="1:8" x14ac:dyDescent="0.3">
      <c r="A229" s="3">
        <v>228</v>
      </c>
      <c r="B229" s="3" t="s">
        <v>10</v>
      </c>
      <c r="C229" s="3">
        <v>89.84834551527797</v>
      </c>
      <c r="D229" s="3">
        <v>1000.4172935714849</v>
      </c>
      <c r="E229" s="3">
        <v>-4.0578504727251872</v>
      </c>
      <c r="F229" s="3">
        <v>28.668752064400429</v>
      </c>
      <c r="G229" s="3">
        <v>3.5435283066804271</v>
      </c>
      <c r="H229" s="3">
        <v>8.7708099151848575</v>
      </c>
    </row>
    <row r="230" spans="1:8" x14ac:dyDescent="0.3">
      <c r="A230" s="3">
        <v>229</v>
      </c>
      <c r="B230" s="3" t="s">
        <v>10</v>
      </c>
      <c r="C230" s="3">
        <v>94.653951496930759</v>
      </c>
      <c r="D230" s="3">
        <v>1001.230825289471</v>
      </c>
      <c r="E230" s="3">
        <v>-2.008845781242345</v>
      </c>
      <c r="F230" s="3">
        <v>30.89959575040843</v>
      </c>
      <c r="G230" s="3">
        <v>0.69965042232192698</v>
      </c>
      <c r="H230" s="3">
        <v>8.7639634119829388</v>
      </c>
    </row>
    <row r="231" spans="1:8" x14ac:dyDescent="0.3">
      <c r="A231" s="3">
        <v>230</v>
      </c>
      <c r="B231" s="3" t="s">
        <v>10</v>
      </c>
      <c r="C231" s="3">
        <v>88.953222264189364</v>
      </c>
      <c r="D231" s="3">
        <v>998.32462926295557</v>
      </c>
      <c r="E231" s="3">
        <v>-2.8261039390753511</v>
      </c>
      <c r="F231" s="3">
        <v>25.29472613773509</v>
      </c>
      <c r="G231" s="3">
        <v>0.16111027905820199</v>
      </c>
      <c r="H231" s="3">
        <v>12.32156644970124</v>
      </c>
    </row>
    <row r="232" spans="1:8" x14ac:dyDescent="0.3">
      <c r="A232" s="3">
        <v>231</v>
      </c>
      <c r="B232" s="3" t="s">
        <v>10</v>
      </c>
      <c r="C232" s="3">
        <v>97.86588189647739</v>
      </c>
      <c r="D232" s="3">
        <v>1001.8161120067909</v>
      </c>
      <c r="E232" s="3">
        <v>4.6629668159260458</v>
      </c>
      <c r="F232" s="3">
        <v>31.470907928016199</v>
      </c>
      <c r="G232" s="3">
        <v>3.3533147358400188</v>
      </c>
      <c r="H232" s="3">
        <v>16.795462644974229</v>
      </c>
    </row>
    <row r="233" spans="1:8" x14ac:dyDescent="0.3">
      <c r="A233" s="3">
        <v>232</v>
      </c>
      <c r="B233" s="3" t="s">
        <v>10</v>
      </c>
      <c r="C233" s="3">
        <v>91.729041218102452</v>
      </c>
      <c r="D233" s="3">
        <v>998.48099937343227</v>
      </c>
      <c r="E233" s="3">
        <v>-0.29199027408840039</v>
      </c>
      <c r="F233" s="3">
        <v>29.711510396760101</v>
      </c>
      <c r="G233" s="3">
        <v>-3.7538499337735241</v>
      </c>
      <c r="H233" s="3">
        <v>7.4540275678051007</v>
      </c>
    </row>
    <row r="234" spans="1:8" x14ac:dyDescent="0.3">
      <c r="A234" s="3">
        <v>233</v>
      </c>
      <c r="B234" s="3" t="s">
        <v>10</v>
      </c>
      <c r="C234" s="3">
        <v>92.643616479887655</v>
      </c>
      <c r="D234" s="3">
        <v>995.73830348591275</v>
      </c>
      <c r="E234" s="3">
        <v>3.86837955837054</v>
      </c>
      <c r="F234" s="3">
        <v>31.405575367590441</v>
      </c>
      <c r="G234" s="3">
        <v>2.435098443382091</v>
      </c>
      <c r="H234" s="3">
        <v>13.301028061789831</v>
      </c>
    </row>
    <row r="235" spans="1:8" x14ac:dyDescent="0.3">
      <c r="A235" s="3">
        <v>234</v>
      </c>
      <c r="B235" s="3" t="s">
        <v>10</v>
      </c>
      <c r="C235" s="3">
        <v>89.784416885781283</v>
      </c>
      <c r="D235" s="3">
        <v>1000.383978897052</v>
      </c>
      <c r="E235" s="3">
        <v>6.0494718050758749</v>
      </c>
      <c r="F235" s="3">
        <v>27.052888092186439</v>
      </c>
      <c r="G235" s="3">
        <v>2.1806991189844438</v>
      </c>
      <c r="H235" s="3">
        <v>14.69863425996312</v>
      </c>
    </row>
    <row r="236" spans="1:8" x14ac:dyDescent="0.3">
      <c r="A236" s="3">
        <v>235</v>
      </c>
      <c r="B236" s="3" t="s">
        <v>10</v>
      </c>
      <c r="C236" s="3">
        <v>90.276833930710197</v>
      </c>
      <c r="D236" s="3">
        <v>1005.837553653194</v>
      </c>
      <c r="E236" s="3">
        <v>0.92467557267017353</v>
      </c>
      <c r="F236" s="3">
        <v>26.931048473556171</v>
      </c>
      <c r="G236" s="3">
        <v>-7.0859881073735487</v>
      </c>
      <c r="H236" s="3">
        <v>9.0314033931333739</v>
      </c>
    </row>
    <row r="237" spans="1:8" x14ac:dyDescent="0.3">
      <c r="A237" s="3">
        <v>236</v>
      </c>
      <c r="B237" s="3" t="s">
        <v>10</v>
      </c>
      <c r="C237" s="3">
        <v>88.048951603084276</v>
      </c>
      <c r="D237" s="3">
        <v>1002.402743018719</v>
      </c>
      <c r="E237" s="3">
        <v>2.351636719057054</v>
      </c>
      <c r="F237" s="3">
        <v>27.919756010171451</v>
      </c>
      <c r="G237" s="3">
        <v>2.1051319855997699</v>
      </c>
      <c r="H237" s="3">
        <v>11.84160179543256</v>
      </c>
    </row>
    <row r="238" spans="1:8" x14ac:dyDescent="0.3">
      <c r="A238" s="3">
        <v>237</v>
      </c>
      <c r="B238" s="3" t="s">
        <v>10</v>
      </c>
      <c r="C238" s="3">
        <v>91.451223834881816</v>
      </c>
      <c r="D238" s="3">
        <v>1003.4957601698389</v>
      </c>
      <c r="E238" s="3">
        <v>-3.7532025581882351</v>
      </c>
      <c r="F238" s="3">
        <v>27.696031280721659</v>
      </c>
      <c r="G238" s="3">
        <v>-5.5052532420410163</v>
      </c>
      <c r="H238" s="3">
        <v>14.470832707866171</v>
      </c>
    </row>
    <row r="239" spans="1:8" x14ac:dyDescent="0.3">
      <c r="A239" s="3">
        <v>238</v>
      </c>
      <c r="B239" s="3" t="s">
        <v>10</v>
      </c>
      <c r="C239" s="3">
        <v>93.25694721477339</v>
      </c>
      <c r="D239" s="3">
        <v>1001.076567169279</v>
      </c>
      <c r="E239" s="3">
        <v>-0.9560093325594079</v>
      </c>
      <c r="F239" s="3">
        <v>33.897149900050771</v>
      </c>
      <c r="G239" s="3">
        <v>2.979413130678159</v>
      </c>
      <c r="H239" s="3">
        <v>11.233472692357831</v>
      </c>
    </row>
    <row r="240" spans="1:8" x14ac:dyDescent="0.3">
      <c r="A240" s="3">
        <v>239</v>
      </c>
      <c r="B240" s="3" t="s">
        <v>10</v>
      </c>
      <c r="C240" s="3">
        <v>92.972913032484144</v>
      </c>
      <c r="D240" s="3">
        <v>998.1743284650513</v>
      </c>
      <c r="E240" s="3">
        <v>1.6686445481485159</v>
      </c>
      <c r="F240" s="3">
        <v>34.737436685424271</v>
      </c>
      <c r="G240" s="3">
        <v>-0.3617412001435707</v>
      </c>
      <c r="H240" s="3">
        <v>11.337946958246359</v>
      </c>
    </row>
    <row r="241" spans="1:8" x14ac:dyDescent="0.3">
      <c r="A241" s="3">
        <v>240</v>
      </c>
      <c r="B241" s="3" t="s">
        <v>10</v>
      </c>
      <c r="C241" s="3">
        <v>89.655390538835746</v>
      </c>
      <c r="D241" s="3">
        <v>999.39327743466913</v>
      </c>
      <c r="E241" s="3">
        <v>2.3972607100084571</v>
      </c>
      <c r="F241" s="3">
        <v>29.5293241408828</v>
      </c>
      <c r="G241" s="3">
        <v>-1.0848104757046819</v>
      </c>
      <c r="H241" s="3">
        <v>12.923180373631849</v>
      </c>
    </row>
    <row r="242" spans="1:8" x14ac:dyDescent="0.3">
      <c r="A242" s="3">
        <v>241</v>
      </c>
      <c r="B242" s="3" t="s">
        <v>10</v>
      </c>
      <c r="C242" s="3">
        <v>89.634134087437999</v>
      </c>
      <c r="D242" s="3">
        <v>999.1802556795642</v>
      </c>
      <c r="E242" s="3">
        <v>-0.7781943518966461</v>
      </c>
      <c r="F242" s="3">
        <v>28.923190318245961</v>
      </c>
      <c r="G242" s="3">
        <v>0.97946109048200469</v>
      </c>
      <c r="H242" s="3">
        <v>11.81996024000019</v>
      </c>
    </row>
    <row r="243" spans="1:8" x14ac:dyDescent="0.3">
      <c r="A243" s="3">
        <v>242</v>
      </c>
      <c r="B243" s="3" t="s">
        <v>10</v>
      </c>
      <c r="C243" s="3">
        <v>90.493403844971411</v>
      </c>
      <c r="D243" s="3">
        <v>998.59390066065373</v>
      </c>
      <c r="E243" s="3">
        <v>9.554576997680396</v>
      </c>
      <c r="F243" s="3">
        <v>29.012883508734991</v>
      </c>
      <c r="G243" s="3">
        <v>5.1191561349519699</v>
      </c>
      <c r="H243" s="3">
        <v>10.33304133018235</v>
      </c>
    </row>
    <row r="244" spans="1:8" x14ac:dyDescent="0.3">
      <c r="A244" s="3">
        <v>243</v>
      </c>
      <c r="B244" s="3" t="s">
        <v>10</v>
      </c>
      <c r="C244" s="3">
        <v>96.488182009539045</v>
      </c>
      <c r="D244" s="3">
        <v>1002.112501851789</v>
      </c>
      <c r="E244" s="3">
        <v>0.12482958272283361</v>
      </c>
      <c r="F244" s="3">
        <v>30.207709433559049</v>
      </c>
      <c r="G244" s="3">
        <v>-0.90596923165368137</v>
      </c>
      <c r="H244" s="3">
        <v>11.58415494161733</v>
      </c>
    </row>
    <row r="245" spans="1:8" x14ac:dyDescent="0.3">
      <c r="A245" s="3">
        <v>244</v>
      </c>
      <c r="B245" s="3" t="s">
        <v>10</v>
      </c>
      <c r="C245" s="3">
        <v>88.588089138002772</v>
      </c>
      <c r="D245" s="3">
        <v>996.40790949290374</v>
      </c>
      <c r="E245" s="3">
        <v>1.6927306698901139</v>
      </c>
      <c r="F245" s="3">
        <v>30.29071270110316</v>
      </c>
      <c r="G245" s="3">
        <v>2.6743098818463298</v>
      </c>
      <c r="H245" s="3">
        <v>17.64851937715941</v>
      </c>
    </row>
    <row r="246" spans="1:8" x14ac:dyDescent="0.3">
      <c r="A246" s="3">
        <v>245</v>
      </c>
      <c r="B246" s="3" t="s">
        <v>10</v>
      </c>
      <c r="C246" s="3">
        <v>91.462845216859407</v>
      </c>
      <c r="D246" s="3">
        <v>1002.599098396338</v>
      </c>
      <c r="E246" s="3">
        <v>3.4493756014605541</v>
      </c>
      <c r="F246" s="3">
        <v>30.870103163296712</v>
      </c>
      <c r="G246" s="3">
        <v>2.023473605265631</v>
      </c>
      <c r="H246" s="3">
        <v>14.621006038818081</v>
      </c>
    </row>
    <row r="247" spans="1:8" x14ac:dyDescent="0.3">
      <c r="A247" s="3">
        <v>246</v>
      </c>
      <c r="B247" s="3" t="s">
        <v>10</v>
      </c>
      <c r="C247" s="3">
        <v>97.707085465036783</v>
      </c>
      <c r="D247" s="3">
        <v>1002.592457458678</v>
      </c>
      <c r="E247" s="3">
        <v>1.4219440956780141</v>
      </c>
      <c r="F247" s="3">
        <v>27.75996317686123</v>
      </c>
      <c r="G247" s="3">
        <v>-2.5385558874246712</v>
      </c>
      <c r="H247" s="3">
        <v>9.256208781517131</v>
      </c>
    </row>
    <row r="248" spans="1:8" x14ac:dyDescent="0.3">
      <c r="A248" s="3">
        <v>247</v>
      </c>
      <c r="B248" s="3" t="s">
        <v>10</v>
      </c>
      <c r="C248" s="3">
        <v>91.69707534401357</v>
      </c>
      <c r="D248" s="3">
        <v>996.40413292279379</v>
      </c>
      <c r="E248" s="3">
        <v>-0.43070216108134218</v>
      </c>
      <c r="F248" s="3">
        <v>27.459310833539039</v>
      </c>
      <c r="G248" s="3">
        <v>-4.2230660520019097</v>
      </c>
      <c r="H248" s="3">
        <v>8.2652471330060422</v>
      </c>
    </row>
    <row r="249" spans="1:8" x14ac:dyDescent="0.3">
      <c r="A249" s="3">
        <v>248</v>
      </c>
      <c r="B249" s="3" t="s">
        <v>10</v>
      </c>
      <c r="C249" s="3">
        <v>87.920477888535814</v>
      </c>
      <c r="D249" s="3">
        <v>1001.918475993702</v>
      </c>
      <c r="E249" s="3">
        <v>4.6359169918899159</v>
      </c>
      <c r="F249" s="3">
        <v>33.59123299123825</v>
      </c>
      <c r="G249" s="3">
        <v>-4.9777573137174294</v>
      </c>
      <c r="H249" s="3">
        <v>10.92005327795218</v>
      </c>
    </row>
    <row r="250" spans="1:8" x14ac:dyDescent="0.3">
      <c r="A250" s="3">
        <v>249</v>
      </c>
      <c r="B250" s="3" t="s">
        <v>10</v>
      </c>
      <c r="C250" s="3">
        <v>90.005691694177813</v>
      </c>
      <c r="D250" s="3">
        <v>1007.290679957033</v>
      </c>
      <c r="E250" s="3">
        <v>6.3466359696216026</v>
      </c>
      <c r="F250" s="3">
        <v>28.354117916690029</v>
      </c>
      <c r="G250" s="3">
        <v>2.6538226344036668</v>
      </c>
      <c r="H250" s="3">
        <v>15.98632410284395</v>
      </c>
    </row>
    <row r="251" spans="1:8" x14ac:dyDescent="0.3">
      <c r="A251" s="3">
        <v>250</v>
      </c>
      <c r="B251" s="3" t="s">
        <v>10</v>
      </c>
      <c r="C251" s="3">
        <v>93.45637993671464</v>
      </c>
      <c r="D251" s="3">
        <v>998.32835355417512</v>
      </c>
      <c r="E251" s="3">
        <v>1.410918086850494</v>
      </c>
      <c r="F251" s="3">
        <v>30.909137085676349</v>
      </c>
      <c r="G251" s="3">
        <v>0.89577381540610479</v>
      </c>
      <c r="H251" s="3">
        <v>12.878037355250861</v>
      </c>
    </row>
    <row r="252" spans="1:8" x14ac:dyDescent="0.3">
      <c r="A252" s="3">
        <v>251</v>
      </c>
      <c r="B252" s="3" t="s">
        <v>10</v>
      </c>
      <c r="C252" s="3">
        <v>90.873191384990676</v>
      </c>
      <c r="D252" s="3">
        <v>1002.5347127242241</v>
      </c>
      <c r="E252" s="3">
        <v>3.186802036209198</v>
      </c>
      <c r="F252" s="3">
        <v>29.829088398589999</v>
      </c>
      <c r="G252" s="3">
        <v>6.5517151108318661</v>
      </c>
      <c r="H252" s="3">
        <v>9.8954842894780164</v>
      </c>
    </row>
    <row r="253" spans="1:8" x14ac:dyDescent="0.3">
      <c r="A253" s="3">
        <v>252</v>
      </c>
      <c r="B253" s="3" t="s">
        <v>10</v>
      </c>
      <c r="C253" s="3">
        <v>90.314370909350657</v>
      </c>
      <c r="D253" s="3">
        <v>997.65339446314181</v>
      </c>
      <c r="E253" s="3">
        <v>1.2077625044921101</v>
      </c>
      <c r="F253" s="3">
        <v>27.126451823547988</v>
      </c>
      <c r="G253" s="3">
        <v>2.7210253247891352</v>
      </c>
      <c r="H253" s="3">
        <v>14.64670370345406</v>
      </c>
    </row>
    <row r="254" spans="1:8" x14ac:dyDescent="0.3">
      <c r="A254" s="3">
        <v>253</v>
      </c>
      <c r="B254" s="3" t="s">
        <v>10</v>
      </c>
      <c r="C254" s="3">
        <v>90.968248297614622</v>
      </c>
      <c r="D254" s="3">
        <v>1003.332134254608</v>
      </c>
      <c r="E254" s="3">
        <v>4.5493656531064852</v>
      </c>
      <c r="F254" s="3">
        <v>31.77318572823452</v>
      </c>
      <c r="G254" s="3">
        <v>3.549087673247826</v>
      </c>
      <c r="H254" s="3">
        <v>11.59988883383132</v>
      </c>
    </row>
    <row r="255" spans="1:8" x14ac:dyDescent="0.3">
      <c r="A255" s="3">
        <v>254</v>
      </c>
      <c r="B255" s="3" t="s">
        <v>10</v>
      </c>
      <c r="C255" s="3">
        <v>92.27148994141767</v>
      </c>
      <c r="D255" s="3">
        <v>1000.74947415978</v>
      </c>
      <c r="E255" s="3">
        <v>-1.968502182779559</v>
      </c>
      <c r="F255" s="3">
        <v>30.51931462047887</v>
      </c>
      <c r="G255" s="3">
        <v>5.0031507560048603</v>
      </c>
      <c r="H255" s="3">
        <v>8.6379645021257456</v>
      </c>
    </row>
    <row r="256" spans="1:8" x14ac:dyDescent="0.3">
      <c r="A256" s="3">
        <v>255</v>
      </c>
      <c r="B256" s="3" t="s">
        <v>10</v>
      </c>
      <c r="C256" s="3">
        <v>96.795526313437477</v>
      </c>
      <c r="D256" s="3">
        <v>1004.95574617487</v>
      </c>
      <c r="E256" s="3">
        <v>8.4625806719834262</v>
      </c>
      <c r="F256" s="3">
        <v>34.199350068637521</v>
      </c>
      <c r="G256" s="3">
        <v>-0.50215729389492081</v>
      </c>
      <c r="H256" s="3">
        <v>13.383577362635361</v>
      </c>
    </row>
    <row r="257" spans="1:8" x14ac:dyDescent="0.3">
      <c r="A257" s="3">
        <v>256</v>
      </c>
      <c r="B257" s="3" t="s">
        <v>10</v>
      </c>
      <c r="C257" s="3">
        <v>91.734304663583345</v>
      </c>
      <c r="D257" s="3">
        <v>995.62308781438924</v>
      </c>
      <c r="E257" s="3">
        <v>-0.31059374336501261</v>
      </c>
      <c r="F257" s="3">
        <v>30.352378753880959</v>
      </c>
      <c r="G257" s="3">
        <v>2.5302937846854672</v>
      </c>
      <c r="H257" s="3">
        <v>16.57242843053643</v>
      </c>
    </row>
    <row r="258" spans="1:8" x14ac:dyDescent="0.3">
      <c r="A258" s="3">
        <v>257</v>
      </c>
      <c r="B258" s="3" t="s">
        <v>10</v>
      </c>
      <c r="C258" s="3">
        <v>95.242398488454555</v>
      </c>
      <c r="D258" s="3">
        <v>999.84610634162391</v>
      </c>
      <c r="E258" s="3">
        <v>-2.8765482433142768</v>
      </c>
      <c r="F258" s="3">
        <v>29.00536272539744</v>
      </c>
      <c r="G258" s="3">
        <v>3.6063798107324621</v>
      </c>
      <c r="H258" s="3">
        <v>13.303404894398479</v>
      </c>
    </row>
    <row r="259" spans="1:8" x14ac:dyDescent="0.3">
      <c r="A259" s="3">
        <v>258</v>
      </c>
      <c r="B259" s="3" t="s">
        <v>10</v>
      </c>
      <c r="C259" s="3">
        <v>93.892262346951696</v>
      </c>
      <c r="D259" s="3">
        <v>998.41922447162324</v>
      </c>
      <c r="E259" s="3">
        <v>0.44724651842079099</v>
      </c>
      <c r="F259" s="3">
        <v>30.834884739916092</v>
      </c>
      <c r="G259" s="3">
        <v>5.1080550640090827</v>
      </c>
      <c r="H259" s="3">
        <v>12.57600111341679</v>
      </c>
    </row>
    <row r="260" spans="1:8" x14ac:dyDescent="0.3">
      <c r="A260" s="3">
        <v>259</v>
      </c>
      <c r="B260" s="3" t="s">
        <v>10</v>
      </c>
      <c r="C260" s="3">
        <v>91.659080313481581</v>
      </c>
      <c r="D260" s="3">
        <v>999.40820539277115</v>
      </c>
      <c r="E260" s="3">
        <v>1.940125452435006</v>
      </c>
      <c r="F260" s="3">
        <v>26.443225052893979</v>
      </c>
      <c r="G260" s="3">
        <v>3.2879534389791059</v>
      </c>
      <c r="H260" s="3">
        <v>10.031270614748831</v>
      </c>
    </row>
    <row r="261" spans="1:8" x14ac:dyDescent="0.3">
      <c r="A261" s="3">
        <v>260</v>
      </c>
      <c r="B261" s="3" t="s">
        <v>10</v>
      </c>
      <c r="C261" s="3">
        <v>87.401293991328203</v>
      </c>
      <c r="D261" s="3">
        <v>998.11126377194194</v>
      </c>
      <c r="E261" s="3">
        <v>6.3708636230406874</v>
      </c>
      <c r="F261" s="3">
        <v>27.492317839819211</v>
      </c>
      <c r="G261" s="3">
        <v>2.263441519111999</v>
      </c>
      <c r="H261" s="3">
        <v>13.705195592608581</v>
      </c>
    </row>
    <row r="262" spans="1:8" x14ac:dyDescent="0.3">
      <c r="A262" s="3">
        <v>261</v>
      </c>
      <c r="B262" s="3" t="s">
        <v>10</v>
      </c>
      <c r="C262" s="3">
        <v>90.436648047342445</v>
      </c>
      <c r="D262" s="3">
        <v>997.49846925839495</v>
      </c>
      <c r="E262" s="3">
        <v>4.2336290303139599</v>
      </c>
      <c r="F262" s="3">
        <v>31.530819753418289</v>
      </c>
      <c r="G262" s="3">
        <v>-1.60467214181367</v>
      </c>
      <c r="H262" s="3">
        <v>8.7882883953288431</v>
      </c>
    </row>
    <row r="263" spans="1:8" x14ac:dyDescent="0.3">
      <c r="A263" s="3">
        <v>262</v>
      </c>
      <c r="B263" s="3" t="s">
        <v>10</v>
      </c>
      <c r="C263" s="3">
        <v>90.530388640584576</v>
      </c>
      <c r="D263" s="3">
        <v>1001.736167123849</v>
      </c>
      <c r="E263" s="3">
        <v>1.92737529613736</v>
      </c>
      <c r="F263" s="3">
        <v>29.000637296328151</v>
      </c>
      <c r="G263" s="3">
        <v>3.1886810828730812</v>
      </c>
      <c r="H263" s="3">
        <v>7.0405529265573259</v>
      </c>
    </row>
    <row r="264" spans="1:8" x14ac:dyDescent="0.3">
      <c r="A264" s="3">
        <v>263</v>
      </c>
      <c r="B264" s="3" t="s">
        <v>10</v>
      </c>
      <c r="C264" s="3">
        <v>92.141463298284577</v>
      </c>
      <c r="D264" s="3">
        <v>996.73725785776924</v>
      </c>
      <c r="E264" s="3">
        <v>-2.6684505719644802</v>
      </c>
      <c r="F264" s="3">
        <v>29.802117160942611</v>
      </c>
      <c r="G264" s="3">
        <v>2.5007976172548618</v>
      </c>
      <c r="H264" s="3">
        <v>11.86994169451874</v>
      </c>
    </row>
    <row r="265" spans="1:8" x14ac:dyDescent="0.3">
      <c r="A265" s="3">
        <v>264</v>
      </c>
      <c r="B265" s="3" t="s">
        <v>10</v>
      </c>
      <c r="C265" s="3">
        <v>95.900596033000468</v>
      </c>
      <c r="D265" s="3">
        <v>1004.4520927946691</v>
      </c>
      <c r="E265" s="3">
        <v>-1.0981132340163411</v>
      </c>
      <c r="F265" s="3">
        <v>29.65433487173415</v>
      </c>
      <c r="G265" s="3">
        <v>2.9027507611207319</v>
      </c>
      <c r="H265" s="3">
        <v>11.896219482602881</v>
      </c>
    </row>
    <row r="266" spans="1:8" x14ac:dyDescent="0.3">
      <c r="A266" s="3">
        <v>265</v>
      </c>
      <c r="B266" s="3" t="s">
        <v>10</v>
      </c>
      <c r="C266" s="3">
        <v>98.879236921493288</v>
      </c>
      <c r="D266" s="3">
        <v>996.44138024405879</v>
      </c>
      <c r="E266" s="3">
        <v>1.0101452033121181</v>
      </c>
      <c r="F266" s="3">
        <v>28.04846214367641</v>
      </c>
      <c r="G266" s="3">
        <v>2.2709351367167692</v>
      </c>
      <c r="H266" s="3">
        <v>19.095166596008429</v>
      </c>
    </row>
    <row r="267" spans="1:8" x14ac:dyDescent="0.3">
      <c r="A267" s="3">
        <v>266</v>
      </c>
      <c r="B267" s="3" t="s">
        <v>10</v>
      </c>
      <c r="C267" s="3">
        <v>96.642743176951313</v>
      </c>
      <c r="D267" s="3">
        <v>1000.303237454186</v>
      </c>
      <c r="E267" s="3">
        <v>9.1590783403817788</v>
      </c>
      <c r="F267" s="3">
        <v>23.94393402275275</v>
      </c>
      <c r="G267" s="3">
        <v>0.39448586586998718</v>
      </c>
      <c r="H267" s="3">
        <v>8.3509580763243036</v>
      </c>
    </row>
    <row r="268" spans="1:8" x14ac:dyDescent="0.3">
      <c r="A268" s="3">
        <v>267</v>
      </c>
      <c r="B268" s="3" t="s">
        <v>10</v>
      </c>
      <c r="C268" s="3">
        <v>91.60054710701317</v>
      </c>
      <c r="D268" s="3">
        <v>1001.598967860479</v>
      </c>
      <c r="E268" s="3">
        <v>-4.0806827226552436</v>
      </c>
      <c r="F268" s="3">
        <v>31.04650491052978</v>
      </c>
      <c r="G268" s="3">
        <v>0.76940230469795745</v>
      </c>
      <c r="H268" s="3">
        <v>12.51271897004713</v>
      </c>
    </row>
    <row r="269" spans="1:8" x14ac:dyDescent="0.3">
      <c r="A269" s="3">
        <v>268</v>
      </c>
      <c r="B269" s="3" t="s">
        <v>10</v>
      </c>
      <c r="C269" s="3">
        <v>86.730417813327094</v>
      </c>
      <c r="D269" s="3">
        <v>1001.7602060172781</v>
      </c>
      <c r="E269" s="3">
        <v>4.8931639555380633</v>
      </c>
      <c r="F269" s="3">
        <v>32.284918522940579</v>
      </c>
      <c r="G269" s="3">
        <v>3.062092339844551</v>
      </c>
      <c r="H269" s="3">
        <v>14.415159280866581</v>
      </c>
    </row>
    <row r="270" spans="1:8" x14ac:dyDescent="0.3">
      <c r="A270" s="3">
        <v>269</v>
      </c>
      <c r="B270" s="3" t="s">
        <v>10</v>
      </c>
      <c r="C270" s="3">
        <v>90.833660407784777</v>
      </c>
      <c r="D270" s="3">
        <v>999.09476000840084</v>
      </c>
      <c r="E270" s="3">
        <v>-8.1702771701762877E-2</v>
      </c>
      <c r="F270" s="3">
        <v>26.133851293949629</v>
      </c>
      <c r="G270" s="3">
        <v>1.5148945207736211</v>
      </c>
      <c r="H270" s="3">
        <v>15.151778532347659</v>
      </c>
    </row>
    <row r="271" spans="1:8" x14ac:dyDescent="0.3">
      <c r="A271" s="3">
        <v>270</v>
      </c>
      <c r="B271" s="3" t="s">
        <v>10</v>
      </c>
      <c r="C271" s="3">
        <v>92.267621669219878</v>
      </c>
      <c r="D271" s="3">
        <v>1000.2385059859849</v>
      </c>
      <c r="E271" s="3">
        <v>6.497972699962256</v>
      </c>
      <c r="F271" s="3">
        <v>34.447208155375819</v>
      </c>
      <c r="G271" s="3">
        <v>-1.490325722980965</v>
      </c>
      <c r="H271" s="3">
        <v>11.96782654602203</v>
      </c>
    </row>
    <row r="272" spans="1:8" x14ac:dyDescent="0.3">
      <c r="A272" s="3">
        <v>271</v>
      </c>
      <c r="B272" s="3" t="s">
        <v>10</v>
      </c>
      <c r="C272" s="3">
        <v>94.535039012202304</v>
      </c>
      <c r="D272" s="3">
        <v>1002.883792455429</v>
      </c>
      <c r="E272" s="3">
        <v>-1.9176019199202139</v>
      </c>
      <c r="F272" s="3">
        <v>31.155464471061709</v>
      </c>
      <c r="G272" s="3">
        <v>0.1295226405829977</v>
      </c>
      <c r="H272" s="3">
        <v>9.7702315757122449</v>
      </c>
    </row>
    <row r="273" spans="1:8" x14ac:dyDescent="0.3">
      <c r="A273" s="3">
        <v>272</v>
      </c>
      <c r="B273" s="3" t="s">
        <v>10</v>
      </c>
      <c r="C273" s="3">
        <v>94.887583905452814</v>
      </c>
      <c r="D273" s="3">
        <v>995.63060224877074</v>
      </c>
      <c r="E273" s="3">
        <v>1.9308697039882421</v>
      </c>
      <c r="F273" s="3">
        <v>34.024920884981618</v>
      </c>
      <c r="G273" s="3">
        <v>-2.9573771725295268</v>
      </c>
      <c r="H273" s="3">
        <v>11.802647844390041</v>
      </c>
    </row>
    <row r="274" spans="1:8" x14ac:dyDescent="0.3">
      <c r="A274" s="3">
        <v>273</v>
      </c>
      <c r="B274" s="3" t="s">
        <v>10</v>
      </c>
      <c r="C274" s="3">
        <v>94.05292828824939</v>
      </c>
      <c r="D274" s="3">
        <v>997.65478086540372</v>
      </c>
      <c r="E274" s="3">
        <v>-1.798652825108253</v>
      </c>
      <c r="F274" s="3">
        <v>27.128488586273139</v>
      </c>
      <c r="G274" s="3">
        <v>-1.9010957080067361</v>
      </c>
      <c r="H274" s="3">
        <v>17.819267975811481</v>
      </c>
    </row>
    <row r="275" spans="1:8" x14ac:dyDescent="0.3">
      <c r="A275" s="3">
        <v>274</v>
      </c>
      <c r="B275" s="3" t="s">
        <v>10</v>
      </c>
      <c r="C275" s="3">
        <v>87.814176950601592</v>
      </c>
      <c r="D275" s="3">
        <v>1000.96120694295</v>
      </c>
      <c r="E275" s="3">
        <v>4.2105492790850256</v>
      </c>
      <c r="F275" s="3">
        <v>30.500343865062749</v>
      </c>
      <c r="G275" s="3">
        <v>0.56616678959344768</v>
      </c>
      <c r="H275" s="3">
        <v>13.4482170245275</v>
      </c>
    </row>
    <row r="276" spans="1:8" x14ac:dyDescent="0.3">
      <c r="A276" s="3">
        <v>275</v>
      </c>
      <c r="B276" s="3" t="s">
        <v>10</v>
      </c>
      <c r="C276" s="3">
        <v>94.548929136900071</v>
      </c>
      <c r="D276" s="3">
        <v>998.66565406498898</v>
      </c>
      <c r="E276" s="3">
        <v>5.9513384662142563</v>
      </c>
      <c r="F276" s="3">
        <v>29.699958123183571</v>
      </c>
      <c r="G276" s="3">
        <v>-4.3943976691247766</v>
      </c>
      <c r="H276" s="3">
        <v>5.8665687823257784</v>
      </c>
    </row>
    <row r="277" spans="1:8" x14ac:dyDescent="0.3">
      <c r="A277" s="3">
        <v>276</v>
      </c>
      <c r="B277" s="3" t="s">
        <v>10</v>
      </c>
      <c r="C277" s="3">
        <v>90.660328350718331</v>
      </c>
      <c r="D277" s="3">
        <v>1004.110011981913</v>
      </c>
      <c r="E277" s="3">
        <v>7.3521630192034557</v>
      </c>
      <c r="F277" s="3">
        <v>32.305522295645332</v>
      </c>
      <c r="G277" s="3">
        <v>-4.0656274237747363</v>
      </c>
      <c r="H277" s="3">
        <v>16.270377385950749</v>
      </c>
    </row>
    <row r="278" spans="1:8" x14ac:dyDescent="0.3">
      <c r="A278" s="3">
        <v>277</v>
      </c>
      <c r="B278" s="3" t="s">
        <v>10</v>
      </c>
      <c r="C278" s="3">
        <v>92.524408100483768</v>
      </c>
      <c r="D278" s="3">
        <v>1002.019761590064</v>
      </c>
      <c r="E278" s="3">
        <v>3.8928019727685559</v>
      </c>
      <c r="F278" s="3">
        <v>28.272421296261921</v>
      </c>
      <c r="G278" s="3">
        <v>4.3076955983082534</v>
      </c>
      <c r="H278" s="3">
        <v>13.621507982745239</v>
      </c>
    </row>
    <row r="279" spans="1:8" x14ac:dyDescent="0.3">
      <c r="A279" s="3">
        <v>278</v>
      </c>
      <c r="B279" s="3" t="s">
        <v>10</v>
      </c>
      <c r="C279" s="3">
        <v>92.223653531521208</v>
      </c>
      <c r="D279" s="3">
        <v>1000.216500257244</v>
      </c>
      <c r="E279" s="3">
        <v>7.0297987637334636</v>
      </c>
      <c r="F279" s="3">
        <v>29.969706984142611</v>
      </c>
      <c r="G279" s="3">
        <v>-0.72985677263432036</v>
      </c>
      <c r="H279" s="3">
        <v>11.899284684487419</v>
      </c>
    </row>
    <row r="280" spans="1:8" x14ac:dyDescent="0.3">
      <c r="A280" s="3">
        <v>279</v>
      </c>
      <c r="B280" s="3" t="s">
        <v>10</v>
      </c>
      <c r="C280" s="3">
        <v>93.28450029491151</v>
      </c>
      <c r="D280" s="3">
        <v>995.47672804739</v>
      </c>
      <c r="E280" s="3">
        <v>5.2392717259849393</v>
      </c>
      <c r="F280" s="3">
        <v>24.664022553768159</v>
      </c>
      <c r="G280" s="3">
        <v>-4.5550751886544631</v>
      </c>
      <c r="H280" s="3">
        <v>11.946409136669701</v>
      </c>
    </row>
    <row r="281" spans="1:8" x14ac:dyDescent="0.3">
      <c r="A281" s="3">
        <v>280</v>
      </c>
      <c r="B281" s="3" t="s">
        <v>10</v>
      </c>
      <c r="C281" s="3">
        <v>92.074024948478424</v>
      </c>
      <c r="D281" s="3">
        <v>1000.078300675979</v>
      </c>
      <c r="E281" s="3">
        <v>1.104375264527955</v>
      </c>
      <c r="F281" s="3">
        <v>27.6671356713885</v>
      </c>
      <c r="G281" s="3">
        <v>0.66141028171307514</v>
      </c>
      <c r="H281" s="3">
        <v>11.550630840619791</v>
      </c>
    </row>
    <row r="282" spans="1:8" x14ac:dyDescent="0.3">
      <c r="A282" s="3">
        <v>281</v>
      </c>
      <c r="B282" s="3" t="s">
        <v>10</v>
      </c>
      <c r="C282" s="3">
        <v>86.997574707243018</v>
      </c>
      <c r="D282" s="3">
        <v>999.05075239540906</v>
      </c>
      <c r="E282" s="3">
        <v>2.9311117148540999</v>
      </c>
      <c r="F282" s="3">
        <v>30.37510165099533</v>
      </c>
      <c r="G282" s="3">
        <v>4.9632078016645451</v>
      </c>
      <c r="H282" s="3">
        <v>12.76967844286575</v>
      </c>
    </row>
    <row r="283" spans="1:8" x14ac:dyDescent="0.3">
      <c r="A283" s="3">
        <v>282</v>
      </c>
      <c r="B283" s="3" t="s">
        <v>10</v>
      </c>
      <c r="C283" s="3">
        <v>94.209487894320333</v>
      </c>
      <c r="D283" s="3">
        <v>999.69296045943815</v>
      </c>
      <c r="E283" s="3">
        <v>-1.415982634427801</v>
      </c>
      <c r="F283" s="3">
        <v>27.881035522835329</v>
      </c>
      <c r="G283" s="3">
        <v>2.9867628908039232</v>
      </c>
      <c r="H283" s="3">
        <v>10.488399200888949</v>
      </c>
    </row>
    <row r="284" spans="1:8" x14ac:dyDescent="0.3">
      <c r="A284" s="3">
        <v>283</v>
      </c>
      <c r="B284" s="3" t="s">
        <v>10</v>
      </c>
      <c r="C284" s="3">
        <v>93.158079705049033</v>
      </c>
      <c r="D284" s="3">
        <v>996.45532231883294</v>
      </c>
      <c r="E284" s="3">
        <v>0.94439349179701848</v>
      </c>
      <c r="F284" s="3">
        <v>29.869291542565559</v>
      </c>
      <c r="G284" s="3">
        <v>2.3241495950609119</v>
      </c>
      <c r="H284" s="3">
        <v>12.83103375498002</v>
      </c>
    </row>
    <row r="285" spans="1:8" x14ac:dyDescent="0.3">
      <c r="A285" s="3">
        <v>284</v>
      </c>
      <c r="B285" s="3" t="s">
        <v>10</v>
      </c>
      <c r="C285" s="3">
        <v>91.203045124165328</v>
      </c>
      <c r="D285" s="3">
        <v>1001.49597413149</v>
      </c>
      <c r="E285" s="3">
        <v>5.1628911250464657</v>
      </c>
      <c r="F285" s="3">
        <v>28.59622207822434</v>
      </c>
      <c r="G285" s="3">
        <v>4.5512377368395223</v>
      </c>
      <c r="H285" s="3">
        <v>9.2059319255377776</v>
      </c>
    </row>
    <row r="286" spans="1:8" x14ac:dyDescent="0.3">
      <c r="A286" s="3">
        <v>285</v>
      </c>
      <c r="B286" s="3" t="s">
        <v>10</v>
      </c>
      <c r="C286" s="3">
        <v>92.354433533140039</v>
      </c>
      <c r="D286" s="3">
        <v>996.88313067907893</v>
      </c>
      <c r="E286" s="3">
        <v>3.1238524304470499</v>
      </c>
      <c r="F286" s="3">
        <v>31.82079040848447</v>
      </c>
      <c r="G286" s="3">
        <v>-1.3145043233026821</v>
      </c>
      <c r="H286" s="3">
        <v>12.60044062582427</v>
      </c>
    </row>
    <row r="287" spans="1:8" x14ac:dyDescent="0.3">
      <c r="A287" s="3">
        <v>286</v>
      </c>
      <c r="B287" s="3" t="s">
        <v>10</v>
      </c>
      <c r="C287" s="3">
        <v>92.402115936105389</v>
      </c>
      <c r="D287" s="3">
        <v>999.32133405567276</v>
      </c>
      <c r="E287" s="3">
        <v>2.8720719948759901</v>
      </c>
      <c r="F287" s="3">
        <v>33.505464926248692</v>
      </c>
      <c r="G287" s="3">
        <v>3.1890675740561112</v>
      </c>
      <c r="H287" s="3">
        <v>15.32051226199934</v>
      </c>
    </row>
    <row r="288" spans="1:8" x14ac:dyDescent="0.3">
      <c r="A288" s="3">
        <v>287</v>
      </c>
      <c r="B288" s="3" t="s">
        <v>10</v>
      </c>
      <c r="C288" s="3">
        <v>92.663058405683003</v>
      </c>
      <c r="D288" s="3">
        <v>1001.144277488354</v>
      </c>
      <c r="E288" s="3">
        <v>-1.614393119061615</v>
      </c>
      <c r="F288" s="3">
        <v>27.53249576157743</v>
      </c>
      <c r="G288" s="3">
        <v>-0.76125684733658039</v>
      </c>
      <c r="H288" s="3">
        <v>13.5276183409614</v>
      </c>
    </row>
    <row r="289" spans="1:8" x14ac:dyDescent="0.3">
      <c r="A289" s="3">
        <v>288</v>
      </c>
      <c r="B289" s="3" t="s">
        <v>10</v>
      </c>
      <c r="C289" s="3">
        <v>96.922538497932464</v>
      </c>
      <c r="D289" s="3">
        <v>997.6494526329609</v>
      </c>
      <c r="E289" s="3">
        <v>-0.31353969100235018</v>
      </c>
      <c r="F289" s="3">
        <v>29.07889032421582</v>
      </c>
      <c r="G289" s="3">
        <v>1.002292559087542</v>
      </c>
      <c r="H289" s="3">
        <v>15.10124902935334</v>
      </c>
    </row>
    <row r="290" spans="1:8" x14ac:dyDescent="0.3">
      <c r="A290" s="3">
        <v>289</v>
      </c>
      <c r="B290" s="3" t="s">
        <v>10</v>
      </c>
      <c r="C290" s="3">
        <v>91.342848863199578</v>
      </c>
      <c r="D290" s="3">
        <v>1001.74897421704</v>
      </c>
      <c r="E290" s="3">
        <v>-0.79381804126070632</v>
      </c>
      <c r="F290" s="3">
        <v>34.319283775109227</v>
      </c>
      <c r="G290" s="3">
        <v>7.6433959580203776</v>
      </c>
      <c r="H290" s="3">
        <v>8.7273937145921483</v>
      </c>
    </row>
    <row r="291" spans="1:8" x14ac:dyDescent="0.3">
      <c r="A291" s="3">
        <v>290</v>
      </c>
      <c r="B291" s="3" t="s">
        <v>10</v>
      </c>
      <c r="C291" s="3">
        <v>92.504196151653971</v>
      </c>
      <c r="D291" s="3">
        <v>996.05046879504494</v>
      </c>
      <c r="E291" s="3">
        <v>2.6858876100404969</v>
      </c>
      <c r="F291" s="3">
        <v>23.403230237448881</v>
      </c>
      <c r="G291" s="3">
        <v>3.9083031871277831</v>
      </c>
      <c r="H291" s="3">
        <v>12.16437835341779</v>
      </c>
    </row>
    <row r="292" spans="1:8" x14ac:dyDescent="0.3">
      <c r="A292" s="3">
        <v>291</v>
      </c>
      <c r="B292" s="3" t="s">
        <v>10</v>
      </c>
      <c r="C292" s="3">
        <v>95.505151619207282</v>
      </c>
      <c r="D292" s="3">
        <v>991.57067596311833</v>
      </c>
      <c r="E292" s="3">
        <v>-1.471522891399677</v>
      </c>
      <c r="F292" s="3">
        <v>29.040486624777799</v>
      </c>
      <c r="G292" s="3">
        <v>3.3040231411516441</v>
      </c>
      <c r="H292" s="3">
        <v>13.85175090816619</v>
      </c>
    </row>
    <row r="293" spans="1:8" x14ac:dyDescent="0.3">
      <c r="A293" s="3">
        <v>292</v>
      </c>
      <c r="B293" s="3" t="s">
        <v>10</v>
      </c>
      <c r="C293" s="3">
        <v>95.162543070130752</v>
      </c>
      <c r="D293" s="3">
        <v>1001.394903972358</v>
      </c>
      <c r="E293" s="3">
        <v>3.1861241702971559</v>
      </c>
      <c r="F293" s="3">
        <v>36.194112852430017</v>
      </c>
      <c r="G293" s="3">
        <v>-2.3249837354544791</v>
      </c>
      <c r="H293" s="3">
        <v>8.7959853968001482</v>
      </c>
    </row>
    <row r="294" spans="1:8" x14ac:dyDescent="0.3">
      <c r="A294" s="3">
        <v>293</v>
      </c>
      <c r="B294" s="3" t="s">
        <v>10</v>
      </c>
      <c r="C294" s="3">
        <v>95.435789331141066</v>
      </c>
      <c r="D294" s="3">
        <v>1002.521619480883</v>
      </c>
      <c r="E294" s="3">
        <v>-1.8492492358006261</v>
      </c>
      <c r="F294" s="3">
        <v>36.580770207192757</v>
      </c>
      <c r="G294" s="3">
        <v>-1.35870775998414</v>
      </c>
      <c r="H294" s="3">
        <v>16.69744301117538</v>
      </c>
    </row>
    <row r="295" spans="1:8" x14ac:dyDescent="0.3">
      <c r="A295" s="3">
        <v>294</v>
      </c>
      <c r="B295" s="3" t="s">
        <v>10</v>
      </c>
      <c r="C295" s="3">
        <v>90.267595996821328</v>
      </c>
      <c r="D295" s="3">
        <v>999.14246372922582</v>
      </c>
      <c r="E295" s="3">
        <v>6.9855913744060931</v>
      </c>
      <c r="F295" s="3">
        <v>30.469785970050449</v>
      </c>
      <c r="G295" s="3">
        <v>7.8523494407848027</v>
      </c>
      <c r="H295" s="3">
        <v>8.8955759670442163</v>
      </c>
    </row>
    <row r="296" spans="1:8" x14ac:dyDescent="0.3">
      <c r="A296" s="3">
        <v>295</v>
      </c>
      <c r="B296" s="3" t="s">
        <v>10</v>
      </c>
      <c r="C296" s="3">
        <v>98.007448190878492</v>
      </c>
      <c r="D296" s="3">
        <v>1001.512378763775</v>
      </c>
      <c r="E296" s="3">
        <v>2.8817740484343122</v>
      </c>
      <c r="F296" s="3">
        <v>27.409173148159081</v>
      </c>
      <c r="G296" s="3">
        <v>-2.279902291919933</v>
      </c>
      <c r="H296" s="3">
        <v>12.49355612551752</v>
      </c>
    </row>
    <row r="297" spans="1:8" x14ac:dyDescent="0.3">
      <c r="A297" s="3">
        <v>296</v>
      </c>
      <c r="B297" s="3" t="s">
        <v>10</v>
      </c>
      <c r="C297" s="3">
        <v>92.200102612790545</v>
      </c>
      <c r="D297" s="3">
        <v>996.53225042474901</v>
      </c>
      <c r="E297" s="3">
        <v>-0.60301083675980927</v>
      </c>
      <c r="F297" s="3">
        <v>30.496372258471311</v>
      </c>
      <c r="G297" s="3">
        <v>1.6434381258552191</v>
      </c>
      <c r="H297" s="3">
        <v>12.455496991065241</v>
      </c>
    </row>
    <row r="298" spans="1:8" x14ac:dyDescent="0.3">
      <c r="A298" s="3">
        <v>297</v>
      </c>
      <c r="B298" s="3" t="s">
        <v>10</v>
      </c>
      <c r="C298" s="3">
        <v>97.600555534120588</v>
      </c>
      <c r="D298" s="3">
        <v>999.61855417952302</v>
      </c>
      <c r="E298" s="3">
        <v>2.2231377975036701</v>
      </c>
      <c r="F298" s="3">
        <v>28.04167681215894</v>
      </c>
      <c r="G298" s="3">
        <v>3.6777131789112172</v>
      </c>
      <c r="H298" s="3">
        <v>12.36501090590056</v>
      </c>
    </row>
    <row r="299" spans="1:8" x14ac:dyDescent="0.3">
      <c r="A299" s="3">
        <v>298</v>
      </c>
      <c r="B299" s="3" t="s">
        <v>10</v>
      </c>
      <c r="C299" s="3">
        <v>87.947291941907864</v>
      </c>
      <c r="D299" s="3">
        <v>994.1754448718782</v>
      </c>
      <c r="E299" s="3">
        <v>0.44264040231613139</v>
      </c>
      <c r="F299" s="3">
        <v>34.358451846874452</v>
      </c>
      <c r="G299" s="3">
        <v>4.0562739170267754</v>
      </c>
      <c r="H299" s="3">
        <v>11.368726249069599</v>
      </c>
    </row>
    <row r="300" spans="1:8" x14ac:dyDescent="0.3">
      <c r="A300" s="3">
        <v>299</v>
      </c>
      <c r="B300" s="3" t="s">
        <v>10</v>
      </c>
      <c r="C300" s="3">
        <v>92.062950759062716</v>
      </c>
      <c r="D300" s="3">
        <v>1003.543542674316</v>
      </c>
      <c r="E300" s="3">
        <v>2.6134438792789711</v>
      </c>
      <c r="F300" s="3">
        <v>27.580552032890861</v>
      </c>
      <c r="G300" s="3">
        <v>4.267336032757715</v>
      </c>
      <c r="H300" s="3">
        <v>13.34981036143861</v>
      </c>
    </row>
    <row r="301" spans="1:8" x14ac:dyDescent="0.3">
      <c r="A301" s="3">
        <v>300</v>
      </c>
      <c r="B301" s="3" t="s">
        <v>10</v>
      </c>
      <c r="C301" s="3">
        <v>95.749743712907645</v>
      </c>
      <c r="D301" s="3">
        <v>1005.579732584629</v>
      </c>
      <c r="E301" s="3">
        <v>2.2305981562809012</v>
      </c>
      <c r="F301" s="3">
        <v>31.118734785626241</v>
      </c>
      <c r="G301" s="3">
        <v>0.5106130303443559</v>
      </c>
      <c r="H301" s="3">
        <v>8.9065065243076109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EA203-5DF8-4FEE-BBD1-D84615A7F6AF}">
  <dimension ref="A1:K301"/>
  <sheetViews>
    <sheetView zoomScale="51" zoomScaleNormal="100" workbookViewId="0">
      <selection activeCell="M11" sqref="M11"/>
    </sheetView>
  </sheetViews>
  <sheetFormatPr defaultRowHeight="14.4" x14ac:dyDescent="0.3"/>
  <cols>
    <col min="1" max="1" width="19.33203125" customWidth="1"/>
    <col min="8" max="8" width="19.33203125" customWidth="1"/>
    <col min="9" max="9" width="11.6640625" bestFit="1" customWidth="1"/>
  </cols>
  <sheetData>
    <row r="1" spans="1:11" ht="18" x14ac:dyDescent="0.3">
      <c r="A1" t="s">
        <v>2</v>
      </c>
      <c r="B1" t="s">
        <v>11</v>
      </c>
      <c r="C1" s="7" t="s">
        <v>12</v>
      </c>
      <c r="H1" t="s">
        <v>2</v>
      </c>
      <c r="I1" t="s">
        <v>11</v>
      </c>
      <c r="K1" s="7" t="s">
        <v>13</v>
      </c>
    </row>
    <row r="2" spans="1:11" x14ac:dyDescent="0.3">
      <c r="A2" s="4">
        <v>83.318573060343368</v>
      </c>
      <c r="B2" t="str">
        <f>IF(A2&gt;80,"Bagus", "Kurang")</f>
        <v>Bagus</v>
      </c>
      <c r="H2" s="4">
        <v>83.318573060343368</v>
      </c>
      <c r="I2" t="str" cm="1">
        <f t="array" ref="I2">_xlfn.IFS(H2&gt;90,"Sangat Bagus",H2&gt;80,"Bagus",H2&gt;65,"Cukup Bagus",TRUE,"Kurang")</f>
        <v>Bagus</v>
      </c>
    </row>
    <row r="3" spans="1:11" x14ac:dyDescent="0.3">
      <c r="A3" s="5">
        <v>84.309467531550155</v>
      </c>
      <c r="B3" t="str">
        <f t="shared" ref="B3:B66" si="0">IF(A3&gt;80,"Bagus", "Kurang")</f>
        <v>Bagus</v>
      </c>
      <c r="H3" s="5">
        <v>84.309467531550155</v>
      </c>
      <c r="I3" t="str" cm="1">
        <f t="array" ref="I3">_xlfn.IFS(H3&gt;90,"Sangat Bagus",H3&gt;80,"Bagus",H3&gt;65,"Cukup Bagus",TRUE,"Kurang")</f>
        <v>Bagus</v>
      </c>
      <c r="K3" s="8"/>
    </row>
    <row r="4" spans="1:11" x14ac:dyDescent="0.3">
      <c r="A4" s="4">
        <v>89.676124942447373</v>
      </c>
      <c r="B4" t="str">
        <f t="shared" si="0"/>
        <v>Bagus</v>
      </c>
      <c r="H4" s="4">
        <v>89.676124942447373</v>
      </c>
      <c r="I4" t="str" cm="1">
        <f t="array" ref="I4">_xlfn.IFS(H4&gt;90,"Sangat Bagus",H4&gt;80,"Bagus",H4&gt;65,"Cukup Bagus",TRUE,"Kurang")</f>
        <v>Bagus</v>
      </c>
    </row>
    <row r="5" spans="1:11" x14ac:dyDescent="0.3">
      <c r="A5" s="5">
        <v>85.211525174273731</v>
      </c>
      <c r="B5" t="str">
        <f t="shared" si="0"/>
        <v>Bagus</v>
      </c>
      <c r="H5" s="5">
        <v>85.211525174273731</v>
      </c>
      <c r="I5" t="str" cm="1">
        <f t="array" ref="I5">_xlfn.IFS(H5&gt;90,"Sangat Bagus",H5&gt;80,"Bagus",H5&gt;65,"Cukup Bagus",TRUE,"Kurang")</f>
        <v>Bagus</v>
      </c>
    </row>
    <row r="6" spans="1:11" x14ac:dyDescent="0.3">
      <c r="A6" s="4">
        <v>85.387863205482844</v>
      </c>
      <c r="B6" t="str">
        <f t="shared" si="0"/>
        <v>Bagus</v>
      </c>
      <c r="H6" s="4">
        <v>85.387863205482844</v>
      </c>
      <c r="I6" t="str" cm="1">
        <f t="array" ref="I6">_xlfn.IFS(H6&gt;90,"Sangat Bagus",H6&gt;80,"Bagus",H6&gt;65,"Cukup Bagus",TRUE,"Kurang")</f>
        <v>Bagus</v>
      </c>
    </row>
    <row r="7" spans="1:11" x14ac:dyDescent="0.3">
      <c r="A7" s="5">
        <v>90.145194960649846</v>
      </c>
      <c r="B7" t="str">
        <f t="shared" si="0"/>
        <v>Bagus</v>
      </c>
      <c r="H7" s="5">
        <v>90.145194960649846</v>
      </c>
      <c r="I7" t="str" cm="1">
        <f t="array" ref="I7">_xlfn.IFS(H7&gt;90,"Sangat Bagus",H7&gt;80,"Bagus",H7&gt;65,"Cukup Bagus",TRUE,"Kurang")</f>
        <v>Sangat Bagus</v>
      </c>
    </row>
    <row r="8" spans="1:11" x14ac:dyDescent="0.3">
      <c r="A8" s="4">
        <v>86.382748617967607</v>
      </c>
      <c r="B8" t="str">
        <f t="shared" si="0"/>
        <v>Bagus</v>
      </c>
      <c r="H8" s="4">
        <v>86.382748617967607</v>
      </c>
      <c r="I8" t="str" cm="1">
        <f t="array" ref="I8">_xlfn.IFS(H8&gt;90,"Sangat Bagus",H8&gt;80,"Bagus",H8&gt;65,"Cukup Bagus",TRUE,"Kurang")</f>
        <v>Bagus</v>
      </c>
    </row>
    <row r="9" spans="1:11" x14ac:dyDescent="0.3">
      <c r="A9" s="5">
        <v>81.204816296180397</v>
      </c>
      <c r="B9" t="str">
        <f t="shared" si="0"/>
        <v>Bagus</v>
      </c>
      <c r="H9" s="5">
        <v>81.204816296180397</v>
      </c>
      <c r="I9" t="str" cm="1">
        <f t="array" ref="I9">_xlfn.IFS(H9&gt;90,"Sangat Bagus",H9&gt;80,"Bagus",H9&gt;65,"Cukup Bagus",TRUE,"Kurang")</f>
        <v>Bagus</v>
      </c>
    </row>
    <row r="10" spans="1:11" x14ac:dyDescent="0.3">
      <c r="A10" s="4">
        <v>82.939441444319428</v>
      </c>
      <c r="B10" t="str">
        <f t="shared" si="0"/>
        <v>Bagus</v>
      </c>
      <c r="H10" s="4">
        <v>82.939441444319428</v>
      </c>
      <c r="I10" t="str" cm="1">
        <f t="array" ref="I10">_xlfn.IFS(H10&gt;90,"Sangat Bagus",H10&gt;80,"Bagus",H10&gt;65,"Cukup Bagus",TRUE,"Kurang")</f>
        <v>Bagus</v>
      </c>
    </row>
    <row r="11" spans="1:11" x14ac:dyDescent="0.3">
      <c r="A11" s="5">
        <v>83.663014089700127</v>
      </c>
      <c r="B11" t="str">
        <f t="shared" si="0"/>
        <v>Bagus</v>
      </c>
      <c r="H11" s="5">
        <v>83.663014089700127</v>
      </c>
      <c r="I11" t="str" cm="1">
        <f t="array" ref="I11">_xlfn.IFS(H11&gt;90,"Sangat Bagus",H11&gt;80,"Bagus",H11&gt;65,"Cukup Bagus",TRUE,"Kurang")</f>
        <v>Bagus</v>
      </c>
    </row>
    <row r="12" spans="1:11" x14ac:dyDescent="0.3">
      <c r="A12" s="4">
        <v>88.672245392318388</v>
      </c>
      <c r="B12" t="str">
        <f t="shared" si="0"/>
        <v>Bagus</v>
      </c>
      <c r="H12" s="4">
        <v>88.672245392318388</v>
      </c>
      <c r="I12" t="str" cm="1">
        <f t="array" ref="I12">_xlfn.IFS(H12&gt;90,"Sangat Bagus",H12&gt;80,"Bagus",H12&gt;65,"Cukup Bagus",TRUE,"Kurang")</f>
        <v>Bagus</v>
      </c>
    </row>
    <row r="13" spans="1:11" x14ac:dyDescent="0.3">
      <c r="A13" s="5">
        <v>86.079441481172097</v>
      </c>
      <c r="B13" t="str">
        <f t="shared" si="0"/>
        <v>Bagus</v>
      </c>
      <c r="H13" s="5">
        <v>86.079441481172097</v>
      </c>
      <c r="I13" t="str" cm="1">
        <f t="array" ref="I13">_xlfn.IFS(H13&gt;90,"Sangat Bagus",H13&gt;80,"Bagus",H13&gt;65,"Cukup Bagus",TRUE,"Kurang")</f>
        <v>Bagus</v>
      </c>
    </row>
    <row r="14" spans="1:11" x14ac:dyDescent="0.3">
      <c r="A14" s="4">
        <v>86.20231435178215</v>
      </c>
      <c r="B14" t="str">
        <f t="shared" si="0"/>
        <v>Bagus</v>
      </c>
      <c r="H14" s="4">
        <v>86.20231435178215</v>
      </c>
      <c r="I14" t="str" cm="1">
        <f t="array" ref="I14">_xlfn.IFS(H14&gt;90,"Sangat Bagus",H14&gt;80,"Bagus",H14&gt;65,"Cukup Bagus",TRUE,"Kurang")</f>
        <v>Bagus</v>
      </c>
    </row>
    <row r="15" spans="1:11" x14ac:dyDescent="0.3">
      <c r="A15" s="5">
        <v>85.332048147835366</v>
      </c>
      <c r="B15" t="str">
        <f t="shared" si="0"/>
        <v>Bagus</v>
      </c>
      <c r="H15" s="5">
        <v>85.332048147835366</v>
      </c>
      <c r="I15" t="str" cm="1">
        <f t="array" ref="I15">_xlfn.IFS(H15&gt;90,"Sangat Bagus",H15&gt;80,"Bagus",H15&gt;65,"Cukup Bagus",TRUE,"Kurang")</f>
        <v>Bagus</v>
      </c>
    </row>
    <row r="16" spans="1:11" x14ac:dyDescent="0.3">
      <c r="A16" s="4">
        <v>83.332476595737774</v>
      </c>
      <c r="B16" t="str">
        <f t="shared" si="0"/>
        <v>Bagus</v>
      </c>
      <c r="H16" s="4">
        <v>83.332476595737774</v>
      </c>
      <c r="I16" t="str" cm="1">
        <f t="array" ref="I16">_xlfn.IFS(H16&gt;90,"Sangat Bagus",H16&gt;80,"Bagus",H16&gt;65,"Cukup Bagus",TRUE,"Kurang")</f>
        <v>Bagus</v>
      </c>
    </row>
    <row r="17" spans="1:9" x14ac:dyDescent="0.3">
      <c r="A17" s="5">
        <v>90.360739410409238</v>
      </c>
      <c r="B17" t="str">
        <f t="shared" si="0"/>
        <v>Bagus</v>
      </c>
      <c r="H17" s="5">
        <v>90.360739410409238</v>
      </c>
      <c r="I17" t="str" cm="1">
        <f t="array" ref="I17">_xlfn.IFS(H17&gt;90,"Sangat Bagus",H17&gt;80,"Bagus",H17&gt;65,"Cukup Bagus",TRUE,"Kurang")</f>
        <v>Sangat Bagus</v>
      </c>
    </row>
    <row r="18" spans="1:9" x14ac:dyDescent="0.3">
      <c r="A18" s="4">
        <v>86.493551434687717</v>
      </c>
      <c r="B18" t="str">
        <f t="shared" si="0"/>
        <v>Bagus</v>
      </c>
      <c r="H18" s="4">
        <v>86.493551434687717</v>
      </c>
      <c r="I18" t="str" cm="1">
        <f t="array" ref="I18">_xlfn.IFS(H18&gt;90,"Sangat Bagus",H18&gt;80,"Bagus",H18&gt;65,"Cukup Bagus",TRUE,"Kurang")</f>
        <v>Bagus</v>
      </c>
    </row>
    <row r="19" spans="1:9" x14ac:dyDescent="0.3">
      <c r="A19" s="5">
        <v>79.100148530111085</v>
      </c>
      <c r="B19" t="str">
        <f t="shared" si="0"/>
        <v>Kurang</v>
      </c>
      <c r="H19" s="5">
        <v>79.100148530111085</v>
      </c>
      <c r="I19" t="str" cm="1">
        <f t="array" ref="I19">_xlfn.IFS(H19&gt;90,"Sangat Bagus",H19&gt;80,"Bagus",H19&gt;65,"Cukup Bagus",TRUE,"Kurang")</f>
        <v>Cukup Bagus</v>
      </c>
    </row>
    <row r="20" spans="1:9" x14ac:dyDescent="0.3">
      <c r="A20" s="4">
        <v>87.104067704691062</v>
      </c>
      <c r="B20" t="str">
        <f t="shared" si="0"/>
        <v>Bagus</v>
      </c>
      <c r="H20" s="4">
        <v>87.104067704691062</v>
      </c>
      <c r="I20" t="str" cm="1">
        <f t="array" ref="I20">_xlfn.IFS(H20&gt;90,"Sangat Bagus",H20&gt;80,"Bagus",H20&gt;65,"Cukup Bagus",TRUE,"Kurang")</f>
        <v>Bagus</v>
      </c>
    </row>
    <row r="21" spans="1:9" x14ac:dyDescent="0.3">
      <c r="A21" s="5">
        <v>83.581625776816196</v>
      </c>
      <c r="B21" t="str">
        <f t="shared" si="0"/>
        <v>Bagus</v>
      </c>
      <c r="H21" s="5">
        <v>83.581625776816196</v>
      </c>
      <c r="I21" t="str" cm="1">
        <f t="array" ref="I21">_xlfn.IFS(H21&gt;90,"Sangat Bagus",H21&gt;80,"Bagus",H21&gt;65,"Cukup Bagus",TRUE,"Kurang")</f>
        <v>Bagus</v>
      </c>
    </row>
    <row r="22" spans="1:9" x14ac:dyDescent="0.3">
      <c r="A22" s="4">
        <v>81.796528882039468</v>
      </c>
      <c r="B22" t="str">
        <f t="shared" si="0"/>
        <v>Bagus</v>
      </c>
      <c r="H22" s="4">
        <v>81.796528882039468</v>
      </c>
      <c r="I22" t="str" cm="1">
        <f t="array" ref="I22">_xlfn.IFS(H22&gt;90,"Sangat Bagus",H22&gt;80,"Bagus",H22&gt;65,"Cukup Bagus",TRUE,"Kurang")</f>
        <v>Bagus</v>
      </c>
    </row>
    <row r="23" spans="1:9" x14ac:dyDescent="0.3">
      <c r="A23" s="5">
        <v>84.346075256025117</v>
      </c>
      <c r="B23" t="str">
        <f t="shared" si="0"/>
        <v>Bagus</v>
      </c>
      <c r="H23" s="5">
        <v>84.346075256025117</v>
      </c>
      <c r="I23" t="str" cm="1">
        <f t="array" ref="I23">_xlfn.IFS(H23&gt;90,"Sangat Bagus",H23&gt;80,"Bagus",H23&gt;65,"Cukup Bagus",TRUE,"Kurang")</f>
        <v>Bagus</v>
      </c>
    </row>
    <row r="24" spans="1:9" x14ac:dyDescent="0.3">
      <c r="A24" s="4">
        <v>81.921986655078285</v>
      </c>
      <c r="B24" t="str">
        <f t="shared" si="0"/>
        <v>Bagus</v>
      </c>
      <c r="H24" s="4">
        <v>81.921986655078285</v>
      </c>
      <c r="I24" t="str" cm="1">
        <f t="array" ref="I24">_xlfn.IFS(H24&gt;90,"Sangat Bagus",H24&gt;80,"Bagus",H24&gt;65,"Cukup Bagus",TRUE,"Kurang")</f>
        <v>Bagus</v>
      </c>
    </row>
    <row r="25" spans="1:9" x14ac:dyDescent="0.3">
      <c r="A25" s="5">
        <v>82.813326312126577</v>
      </c>
      <c r="B25" t="str">
        <f t="shared" si="0"/>
        <v>Bagus</v>
      </c>
      <c r="H25" s="5">
        <v>82.813326312126577</v>
      </c>
      <c r="I25" t="str" cm="1">
        <f t="array" ref="I25">_xlfn.IFS(H25&gt;90,"Sangat Bagus",H25&gt;80,"Bagus",H25&gt;65,"Cukup Bagus",TRUE,"Kurang")</f>
        <v>Bagus</v>
      </c>
    </row>
    <row r="26" spans="1:9" x14ac:dyDescent="0.3">
      <c r="A26" s="4">
        <v>83.124882196452234</v>
      </c>
      <c r="B26" t="str">
        <f t="shared" si="0"/>
        <v>Bagus</v>
      </c>
      <c r="H26" s="4">
        <v>83.124882196452234</v>
      </c>
      <c r="I26" t="str" cm="1">
        <f t="array" ref="I26">_xlfn.IFS(H26&gt;90,"Sangat Bagus",H26&gt;80,"Bagus",H26&gt;65,"Cukup Bagus",TRUE,"Kurang")</f>
        <v>Bagus</v>
      </c>
    </row>
    <row r="27" spans="1:9" x14ac:dyDescent="0.3">
      <c r="A27" s="5">
        <v>79.939920067772761</v>
      </c>
      <c r="B27" t="str">
        <f t="shared" si="0"/>
        <v>Kurang</v>
      </c>
      <c r="H27" s="5">
        <v>79.939920067772761</v>
      </c>
      <c r="I27" t="str" cm="1">
        <f t="array" ref="I27">_xlfn.IFS(H27&gt;90,"Sangat Bagus",H27&gt;80,"Bagus",H27&gt;65,"Cukup Bagus",TRUE,"Kurang")</f>
        <v>Cukup Bagus</v>
      </c>
    </row>
    <row r="28" spans="1:9" x14ac:dyDescent="0.3">
      <c r="A28" s="4">
        <v>87.513361133483571</v>
      </c>
      <c r="B28" t="str">
        <f t="shared" si="0"/>
        <v>Bagus</v>
      </c>
      <c r="H28" s="4">
        <v>87.513361133483571</v>
      </c>
      <c r="I28" t="str" cm="1">
        <f t="array" ref="I28">_xlfn.IFS(H28&gt;90,"Sangat Bagus",H28&gt;80,"Bagus",H28&gt;65,"Cukup Bagus",TRUE,"Kurang")</f>
        <v>Bagus</v>
      </c>
    </row>
    <row r="29" spans="1:9" x14ac:dyDescent="0.3">
      <c r="A29" s="5">
        <v>85.46011935350954</v>
      </c>
      <c r="B29" t="str">
        <f t="shared" si="0"/>
        <v>Bagus</v>
      </c>
      <c r="H29" s="5">
        <v>85.46011935350954</v>
      </c>
      <c r="I29" t="str" cm="1">
        <f t="array" ref="I29">_xlfn.IFS(H29&gt;90,"Sangat Bagus",H29&gt;80,"Bagus",H29&gt;65,"Cukup Bagus",TRUE,"Kurang")</f>
        <v>Bagus</v>
      </c>
    </row>
    <row r="30" spans="1:9" x14ac:dyDescent="0.3">
      <c r="A30" s="4">
        <v>81.58558918896415</v>
      </c>
      <c r="B30" t="str">
        <f t="shared" si="0"/>
        <v>Bagus</v>
      </c>
      <c r="H30" s="4">
        <v>81.58558918896415</v>
      </c>
      <c r="I30" t="str" cm="1">
        <f t="array" ref="I30">_xlfn.IFS(H30&gt;90,"Sangat Bagus",H30&gt;80,"Bagus",H30&gt;65,"Cukup Bagus",TRUE,"Kurang")</f>
        <v>Bagus</v>
      </c>
    </row>
    <row r="31" spans="1:9" x14ac:dyDescent="0.3">
      <c r="A31" s="5">
        <v>88.761444763209781</v>
      </c>
      <c r="B31" t="str">
        <f t="shared" si="0"/>
        <v>Bagus</v>
      </c>
      <c r="H31" s="5">
        <v>88.761444763209781</v>
      </c>
      <c r="I31" t="str" cm="1">
        <f t="array" ref="I31">_xlfn.IFS(H31&gt;90,"Sangat Bagus",H31&gt;80,"Bagus",H31&gt;65,"Cukup Bagus",TRUE,"Kurang")</f>
        <v>Bagus</v>
      </c>
    </row>
    <row r="32" spans="1:9" x14ac:dyDescent="0.3">
      <c r="A32" s="4">
        <v>86.279392664430446</v>
      </c>
      <c r="B32" t="str">
        <f t="shared" si="0"/>
        <v>Bagus</v>
      </c>
      <c r="H32" s="4">
        <v>86.279392664430446</v>
      </c>
      <c r="I32" t="str" cm="1">
        <f t="array" ref="I32">_xlfn.IFS(H32&gt;90,"Sangat Bagus",H32&gt;80,"Bagus",H32&gt;65,"Cukup Bagus",TRUE,"Kurang")</f>
        <v>Bagus</v>
      </c>
    </row>
    <row r="33" spans="1:9" x14ac:dyDescent="0.3">
      <c r="A33" s="5">
        <v>84.114785551023189</v>
      </c>
      <c r="B33" t="str">
        <f t="shared" si="0"/>
        <v>Bagus</v>
      </c>
      <c r="H33" s="5">
        <v>84.114785551023189</v>
      </c>
      <c r="I33" t="str" cm="1">
        <f t="array" ref="I33">_xlfn.IFS(H33&gt;90,"Sangat Bagus",H33&gt;80,"Bagus",H33&gt;65,"Cukup Bagus",TRUE,"Kurang")</f>
        <v>Bagus</v>
      </c>
    </row>
    <row r="34" spans="1:9" x14ac:dyDescent="0.3">
      <c r="A34" s="4">
        <v>87.685376983135072</v>
      </c>
      <c r="B34" t="str">
        <f t="shared" si="0"/>
        <v>Bagus</v>
      </c>
      <c r="H34" s="4">
        <v>87.685376983135072</v>
      </c>
      <c r="I34" t="str" cm="1">
        <f t="array" ref="I34">_xlfn.IFS(H34&gt;90,"Sangat Bagus",H34&gt;80,"Bagus",H34&gt;65,"Cukup Bagus",TRUE,"Kurang")</f>
        <v>Bagus</v>
      </c>
    </row>
    <row r="35" spans="1:9" x14ac:dyDescent="0.3">
      <c r="A35" s="5">
        <v>87.634400462599132</v>
      </c>
      <c r="B35" t="str">
        <f t="shared" si="0"/>
        <v>Bagus</v>
      </c>
      <c r="H35" s="5">
        <v>87.634400462599132</v>
      </c>
      <c r="I35" t="str" cm="1">
        <f t="array" ref="I35">_xlfn.IFS(H35&gt;90,"Sangat Bagus",H35&gt;80,"Bagus",H35&gt;65,"Cukup Bagus",TRUE,"Kurang")</f>
        <v>Bagus</v>
      </c>
    </row>
    <row r="36" spans="1:9" x14ac:dyDescent="0.3">
      <c r="A36" s="4">
        <v>87.464743244912455</v>
      </c>
      <c r="B36" t="str">
        <f t="shared" si="0"/>
        <v>Bagus</v>
      </c>
      <c r="H36" s="4">
        <v>87.464743244912455</v>
      </c>
      <c r="I36" t="str" cm="1">
        <f t="array" ref="I36">_xlfn.IFS(H36&gt;90,"Sangat Bagus",H36&gt;80,"Bagus",H36&gt;65,"Cukup Bagus",TRUE,"Kurang")</f>
        <v>Bagus</v>
      </c>
    </row>
    <row r="37" spans="1:9" x14ac:dyDescent="0.3">
      <c r="A37" s="5">
        <v>87.065920762300266</v>
      </c>
      <c r="B37" t="str">
        <f t="shared" si="0"/>
        <v>Bagus</v>
      </c>
      <c r="H37" s="5">
        <v>87.065920762300266</v>
      </c>
      <c r="I37" t="str" cm="1">
        <f t="array" ref="I37">_xlfn.IFS(H37&gt;90,"Sangat Bagus",H37&gt;80,"Bagus",H37&gt;65,"Cukup Bagus",TRUE,"Kurang")</f>
        <v>Bagus</v>
      </c>
    </row>
    <row r="38" spans="1:9" x14ac:dyDescent="0.3">
      <c r="A38" s="4">
        <v>86.661752960612773</v>
      </c>
      <c r="B38" t="str">
        <f t="shared" si="0"/>
        <v>Bagus</v>
      </c>
      <c r="H38" s="4">
        <v>86.661752960612773</v>
      </c>
      <c r="I38" t="str" cm="1">
        <f t="array" ref="I38">_xlfn.IFS(H38&gt;90,"Sangat Bagus",H38&gt;80,"Bagus",H38&gt;65,"Cukup Bagus",TRUE,"Kurang")</f>
        <v>Bagus</v>
      </c>
    </row>
    <row r="39" spans="1:9" x14ac:dyDescent="0.3">
      <c r="A39" s="5">
        <v>84.814264868269831</v>
      </c>
      <c r="B39" t="str">
        <f t="shared" si="0"/>
        <v>Bagus</v>
      </c>
      <c r="H39" s="5">
        <v>84.814264868269831</v>
      </c>
      <c r="I39" t="str" cm="1">
        <f t="array" ref="I39">_xlfn.IFS(H39&gt;90,"Sangat Bagus",H39&gt;80,"Bagus",H39&gt;65,"Cukup Bagus",TRUE,"Kurang")</f>
        <v>Bagus</v>
      </c>
    </row>
    <row r="40" spans="1:9" x14ac:dyDescent="0.3">
      <c r="A40" s="4">
        <v>84.082112008780243</v>
      </c>
      <c r="B40" t="str">
        <f t="shared" si="0"/>
        <v>Bagus</v>
      </c>
      <c r="H40" s="4">
        <v>84.082112008780243</v>
      </c>
      <c r="I40" t="str" cm="1">
        <f t="array" ref="I40">_xlfn.IFS(H40&gt;90,"Sangat Bagus",H40&gt;80,"Bagus",H40&gt;65,"Cukup Bagus",TRUE,"Kurang")</f>
        <v>Bagus</v>
      </c>
    </row>
    <row r="41" spans="1:9" x14ac:dyDescent="0.3">
      <c r="A41" s="5">
        <v>83.858586996962856</v>
      </c>
      <c r="B41" t="str">
        <f t="shared" si="0"/>
        <v>Bagus</v>
      </c>
      <c r="H41" s="5">
        <v>83.858586996962856</v>
      </c>
      <c r="I41" t="str" cm="1">
        <f t="array" ref="I41">_xlfn.IFS(H41&gt;90,"Sangat Bagus",H41&gt;80,"Bagus",H41&gt;65,"Cukup Bagus",TRUE,"Kurang")</f>
        <v>Bagus</v>
      </c>
    </row>
    <row r="42" spans="1:9" x14ac:dyDescent="0.3">
      <c r="A42" s="4">
        <v>82.915879063238464</v>
      </c>
      <c r="B42" t="str">
        <f t="shared" si="0"/>
        <v>Bagus</v>
      </c>
      <c r="H42" s="4">
        <v>82.915879063238464</v>
      </c>
      <c r="I42" t="str" cm="1">
        <f t="array" ref="I42">_xlfn.IFS(H42&gt;90,"Sangat Bagus",H42&gt;80,"Bagus",H42&gt;65,"Cukup Bagus",TRUE,"Kurang")</f>
        <v>Bagus</v>
      </c>
    </row>
    <row r="43" spans="1:9" x14ac:dyDescent="0.3">
      <c r="A43" s="5">
        <v>84.376248165941206</v>
      </c>
      <c r="B43" t="str">
        <f t="shared" si="0"/>
        <v>Bagus</v>
      </c>
      <c r="H43" s="5">
        <v>84.376248165941206</v>
      </c>
      <c r="I43" t="str" cm="1">
        <f t="array" ref="I43">_xlfn.IFS(H43&gt;90,"Sangat Bagus",H43&gt;80,"Bagus",H43&gt;65,"Cukup Bagus",TRUE,"Kurang")</f>
        <v>Bagus</v>
      </c>
    </row>
    <row r="44" spans="1:9" x14ac:dyDescent="0.3">
      <c r="A44" s="4">
        <v>81.203810945295203</v>
      </c>
      <c r="B44" t="str">
        <f t="shared" si="0"/>
        <v>Bagus</v>
      </c>
      <c r="H44" s="4">
        <v>81.203810945295203</v>
      </c>
      <c r="I44" t="str" cm="1">
        <f t="array" ref="I44">_xlfn.IFS(H44&gt;90,"Sangat Bagus",H44&gt;80,"Bagus",H44&gt;65,"Cukup Bagus",TRUE,"Kurang")</f>
        <v>Bagus</v>
      </c>
    </row>
    <row r="45" spans="1:9" x14ac:dyDescent="0.3">
      <c r="A45" s="5">
        <v>91.506867896015535</v>
      </c>
      <c r="B45" t="str">
        <f t="shared" si="0"/>
        <v>Bagus</v>
      </c>
      <c r="H45" s="5">
        <v>91.506867896015535</v>
      </c>
      <c r="I45" t="str" cm="1">
        <f t="array" ref="I45">_xlfn.IFS(H45&gt;90,"Sangat Bagus",H45&gt;80,"Bagus",H45&gt;65,"Cukup Bagus",TRUE,"Kurang")</f>
        <v>Sangat Bagus</v>
      </c>
    </row>
    <row r="46" spans="1:9" x14ac:dyDescent="0.3">
      <c r="A46" s="4">
        <v>88.623885994914971</v>
      </c>
      <c r="B46" t="str">
        <f t="shared" si="0"/>
        <v>Bagus</v>
      </c>
      <c r="H46" s="4">
        <v>88.623885994914971</v>
      </c>
      <c r="I46" t="str" cm="1">
        <f t="array" ref="I46">_xlfn.IFS(H46&gt;90,"Sangat Bagus",H46&gt;80,"Bagus",H46&gt;65,"Cukup Bagus",TRUE,"Kurang")</f>
        <v>Bagus</v>
      </c>
    </row>
    <row r="47" spans="1:9" x14ac:dyDescent="0.3">
      <c r="A47" s="5">
        <v>81.630674250389959</v>
      </c>
      <c r="B47" t="str">
        <f t="shared" si="0"/>
        <v>Bagus</v>
      </c>
      <c r="H47" s="5">
        <v>81.630674250389959</v>
      </c>
      <c r="I47" t="str" cm="1">
        <f t="array" ref="I47">_xlfn.IFS(H47&gt;90,"Sangat Bagus",H47&gt;80,"Bagus",H47&gt;65,"Cukup Bagus",TRUE,"Kurang")</f>
        <v>Bagus</v>
      </c>
    </row>
    <row r="48" spans="1:9" x14ac:dyDescent="0.3">
      <c r="A48" s="4">
        <v>83.791345494102771</v>
      </c>
      <c r="B48" t="str">
        <f t="shared" si="0"/>
        <v>Bagus</v>
      </c>
      <c r="H48" s="4">
        <v>83.791345494102771</v>
      </c>
      <c r="I48" t="str" cm="1">
        <f t="array" ref="I48">_xlfn.IFS(H48&gt;90,"Sangat Bagus",H48&gt;80,"Bagus",H48&gt;65,"Cukup Bagus",TRUE,"Kurang")</f>
        <v>Bagus</v>
      </c>
    </row>
    <row r="49" spans="1:9" x14ac:dyDescent="0.3">
      <c r="A49" s="5">
        <v>83.600033939130341</v>
      </c>
      <c r="B49" t="str">
        <f t="shared" si="0"/>
        <v>Bagus</v>
      </c>
      <c r="H49" s="5">
        <v>83.600033939130341</v>
      </c>
      <c r="I49" t="str" cm="1">
        <f t="array" ref="I49">_xlfn.IFS(H49&gt;90,"Sangat Bagus",H49&gt;80,"Bagus",H49&gt;65,"Cukup Bagus",TRUE,"Kurang")</f>
        <v>Bagus</v>
      </c>
    </row>
    <row r="50" spans="1:9" x14ac:dyDescent="0.3">
      <c r="A50" s="4">
        <v>87.339895355008949</v>
      </c>
      <c r="B50" t="str">
        <f t="shared" si="0"/>
        <v>Bagus</v>
      </c>
      <c r="H50" s="4">
        <v>87.339895355008949</v>
      </c>
      <c r="I50" t="str" cm="1">
        <f t="array" ref="I50">_xlfn.IFS(H50&gt;90,"Sangat Bagus",H50&gt;80,"Bagus",H50&gt;65,"Cukup Bagus",TRUE,"Kurang")</f>
        <v>Bagus</v>
      </c>
    </row>
    <row r="51" spans="1:9" x14ac:dyDescent="0.3">
      <c r="A51" s="5">
        <v>84.749892800584519</v>
      </c>
      <c r="B51" t="str">
        <f t="shared" si="0"/>
        <v>Bagus</v>
      </c>
      <c r="H51" s="5">
        <v>84.749892800584519</v>
      </c>
      <c r="I51" t="str" cm="1">
        <f t="array" ref="I51">_xlfn.IFS(H51&gt;90,"Sangat Bagus",H51&gt;80,"Bagus",H51&gt;65,"Cukup Bagus",TRUE,"Kurang")</f>
        <v>Bagus</v>
      </c>
    </row>
    <row r="52" spans="1:9" x14ac:dyDescent="0.3">
      <c r="A52" s="4">
        <v>85.759955541984269</v>
      </c>
      <c r="B52" t="str">
        <f t="shared" si="0"/>
        <v>Bagus</v>
      </c>
      <c r="H52" s="4">
        <v>85.759955541984269</v>
      </c>
      <c r="I52" t="str" cm="1">
        <f t="array" ref="I52">_xlfn.IFS(H52&gt;90,"Sangat Bagus",H52&gt;80,"Bagus",H52&gt;65,"Cukup Bagus",TRUE,"Kurang")</f>
        <v>Bagus</v>
      </c>
    </row>
    <row r="53" spans="1:9" x14ac:dyDescent="0.3">
      <c r="A53" s="5">
        <v>84.914359733953887</v>
      </c>
      <c r="B53" t="str">
        <f t="shared" si="0"/>
        <v>Bagus</v>
      </c>
      <c r="H53" s="5">
        <v>84.914359733953887</v>
      </c>
      <c r="I53" t="str" cm="1">
        <f t="array" ref="I53">_xlfn.IFS(H53&gt;90,"Sangat Bagus",H53&gt;80,"Bagus",H53&gt;65,"Cukup Bagus",TRUE,"Kurang")</f>
        <v>Bagus</v>
      </c>
    </row>
    <row r="54" spans="1:9" x14ac:dyDescent="0.3">
      <c r="A54" s="4">
        <v>84.871388628126056</v>
      </c>
      <c r="B54" t="str">
        <f t="shared" si="0"/>
        <v>Bagus</v>
      </c>
      <c r="H54" s="4">
        <v>84.871388628126056</v>
      </c>
      <c r="I54" t="str" cm="1">
        <f t="array" ref="I54">_xlfn.IFS(H54&gt;90,"Sangat Bagus",H54&gt;80,"Bagus",H54&gt;65,"Cukup Bagus",TRUE,"Kurang")</f>
        <v>Bagus</v>
      </c>
    </row>
    <row r="55" spans="1:9" x14ac:dyDescent="0.3">
      <c r="A55" s="5">
        <v>89.105806852043372</v>
      </c>
      <c r="B55" t="str">
        <f t="shared" si="0"/>
        <v>Bagus</v>
      </c>
      <c r="H55" s="5">
        <v>89.105806852043372</v>
      </c>
      <c r="I55" t="str" cm="1">
        <f t="array" ref="I55">_xlfn.IFS(H55&gt;90,"Sangat Bagus",H55&gt;80,"Bagus",H55&gt;65,"Cukup Bagus",TRUE,"Kurang")</f>
        <v>Bagus</v>
      </c>
    </row>
    <row r="56" spans="1:9" x14ac:dyDescent="0.3">
      <c r="A56" s="4">
        <v>84.322687043022199</v>
      </c>
      <c r="B56" t="str">
        <f t="shared" si="0"/>
        <v>Bagus</v>
      </c>
      <c r="H56" s="4">
        <v>84.322687043022199</v>
      </c>
      <c r="I56" t="str" cm="1">
        <f t="array" ref="I56">_xlfn.IFS(H56&gt;90,"Sangat Bagus",H56&gt;80,"Bagus",H56&gt;65,"Cukup Bagus",TRUE,"Kurang")</f>
        <v>Bagus</v>
      </c>
    </row>
    <row r="57" spans="1:9" x14ac:dyDescent="0.3">
      <c r="A57" s="5">
        <v>89.549411813288614</v>
      </c>
      <c r="B57" t="str">
        <f t="shared" si="0"/>
        <v>Bagus</v>
      </c>
      <c r="H57" s="5">
        <v>89.549411813288614</v>
      </c>
      <c r="I57" t="str" cm="1">
        <f t="array" ref="I57">_xlfn.IFS(H57&gt;90,"Sangat Bagus",H57&gt;80,"Bagus",H57&gt;65,"Cukup Bagus",TRUE,"Kurang")</f>
        <v>Bagus</v>
      </c>
    </row>
    <row r="58" spans="1:9" x14ac:dyDescent="0.3">
      <c r="A58" s="4">
        <v>80.353741587309344</v>
      </c>
      <c r="B58" t="str">
        <f t="shared" si="0"/>
        <v>Bagus</v>
      </c>
      <c r="H58" s="4">
        <v>80.353741587309344</v>
      </c>
      <c r="I58" t="str" cm="1">
        <f t="array" ref="I58">_xlfn.IFS(H58&gt;90,"Sangat Bagus",H58&gt;80,"Bagus",H58&gt;65,"Cukup Bagus",TRUE,"Kurang")</f>
        <v>Bagus</v>
      </c>
    </row>
    <row r="59" spans="1:9" x14ac:dyDescent="0.3">
      <c r="A59" s="5">
        <v>86.753841248908202</v>
      </c>
      <c r="B59" t="str">
        <f t="shared" si="0"/>
        <v>Bagus</v>
      </c>
      <c r="H59" s="5">
        <v>86.753841248908202</v>
      </c>
      <c r="I59" t="str" cm="1">
        <f t="array" ref="I59">_xlfn.IFS(H59&gt;90,"Sangat Bagus",H59&gt;80,"Bagus",H59&gt;65,"Cukup Bagus",TRUE,"Kurang")</f>
        <v>Bagus</v>
      </c>
    </row>
    <row r="60" spans="1:9" x14ac:dyDescent="0.3">
      <c r="A60" s="4">
        <v>85.371562731533842</v>
      </c>
      <c r="B60" t="str">
        <f t="shared" si="0"/>
        <v>Bagus</v>
      </c>
      <c r="H60" s="4">
        <v>85.371562731533842</v>
      </c>
      <c r="I60" t="str" cm="1">
        <f t="array" ref="I60">_xlfn.IFS(H60&gt;90,"Sangat Bagus",H60&gt;80,"Bagus",H60&gt;65,"Cukup Bagus",TRUE,"Kurang")</f>
        <v>Bagus</v>
      </c>
    </row>
    <row r="61" spans="1:9" x14ac:dyDescent="0.3">
      <c r="A61" s="5">
        <v>85.647824706231916</v>
      </c>
      <c r="B61" t="str">
        <f t="shared" si="0"/>
        <v>Bagus</v>
      </c>
      <c r="H61" s="5">
        <v>85.647824706231916</v>
      </c>
      <c r="I61" t="str" cm="1">
        <f t="array" ref="I61">_xlfn.IFS(H61&gt;90,"Sangat Bagus",H61&gt;80,"Bagus",H61&gt;65,"Cukup Bagus",TRUE,"Kurang")</f>
        <v>Bagus</v>
      </c>
    </row>
    <row r="62" spans="1:9" x14ac:dyDescent="0.3">
      <c r="A62" s="4">
        <v>86.13891844827964</v>
      </c>
      <c r="B62" t="str">
        <f t="shared" si="0"/>
        <v>Bagus</v>
      </c>
      <c r="H62" s="4">
        <v>86.13891844827964</v>
      </c>
      <c r="I62" t="str" cm="1">
        <f t="array" ref="I62">_xlfn.IFS(H62&gt;90,"Sangat Bagus",H62&gt;80,"Bagus",H62&gt;65,"Cukup Bagus",TRUE,"Kurang")</f>
        <v>Bagus</v>
      </c>
    </row>
    <row r="63" spans="1:9" x14ac:dyDescent="0.3">
      <c r="A63" s="5">
        <v>83.493029640672091</v>
      </c>
      <c r="B63" t="str">
        <f t="shared" si="0"/>
        <v>Bagus</v>
      </c>
      <c r="H63" s="5">
        <v>83.493029640672091</v>
      </c>
      <c r="I63" t="str" cm="1">
        <f t="array" ref="I63">_xlfn.IFS(H63&gt;90,"Sangat Bagus",H63&gt;80,"Bagus",H63&gt;65,"Cukup Bagus",TRUE,"Kurang")</f>
        <v>Bagus</v>
      </c>
    </row>
    <row r="64" spans="1:9" x14ac:dyDescent="0.3">
      <c r="A64" s="4">
        <v>84.000377848991747</v>
      </c>
      <c r="B64" t="str">
        <f t="shared" si="0"/>
        <v>Bagus</v>
      </c>
      <c r="H64" s="4">
        <v>84.000377848991747</v>
      </c>
      <c r="I64" t="str" cm="1">
        <f t="array" ref="I64">_xlfn.IFS(H64&gt;90,"Sangat Bagus",H64&gt;80,"Bagus",H64&gt;65,"Cukup Bagus",TRUE,"Kurang")</f>
        <v>Bagus</v>
      </c>
    </row>
    <row r="65" spans="1:9" x14ac:dyDescent="0.3">
      <c r="A65" s="5">
        <v>81.944273850678741</v>
      </c>
      <c r="B65" t="str">
        <f t="shared" si="0"/>
        <v>Bagus</v>
      </c>
      <c r="H65" s="5">
        <v>81.944273850678741</v>
      </c>
      <c r="I65" t="str" cm="1">
        <f t="array" ref="I65">_xlfn.IFS(H65&gt;90,"Sangat Bagus",H65&gt;80,"Bagus",H65&gt;65,"Cukup Bagus",TRUE,"Kurang")</f>
        <v>Bagus</v>
      </c>
    </row>
    <row r="66" spans="1:9" x14ac:dyDescent="0.3">
      <c r="A66" s="4">
        <v>81.784626320573267</v>
      </c>
      <c r="B66" t="str">
        <f t="shared" si="0"/>
        <v>Bagus</v>
      </c>
      <c r="H66" s="4">
        <v>81.784626320573267</v>
      </c>
      <c r="I66" t="str" cm="1">
        <f t="array" ref="I66">_xlfn.IFS(H66&gt;90,"Sangat Bagus",H66&gt;80,"Bagus",H66&gt;65,"Cukup Bagus",TRUE,"Kurang")</f>
        <v>Bagus</v>
      </c>
    </row>
    <row r="67" spans="1:9" x14ac:dyDescent="0.3">
      <c r="A67" s="5">
        <v>85.910585924212768</v>
      </c>
      <c r="B67" t="str">
        <f t="shared" ref="B67:B130" si="1">IF(A67&gt;80,"Bagus", "Kurang")</f>
        <v>Bagus</v>
      </c>
      <c r="H67" s="5">
        <v>85.910585924212768</v>
      </c>
      <c r="I67" t="str" cm="1">
        <f t="array" ref="I67">_xlfn.IFS(H67&gt;90,"Sangat Bagus",H67&gt;80,"Bagus",H67&gt;65,"Cukup Bagus",TRUE,"Kurang")</f>
        <v>Bagus</v>
      </c>
    </row>
    <row r="68" spans="1:9" x14ac:dyDescent="0.3">
      <c r="A68" s="4">
        <v>86.344629335888285</v>
      </c>
      <c r="B68" t="str">
        <f t="shared" si="1"/>
        <v>Bagus</v>
      </c>
      <c r="H68" s="4">
        <v>86.344629335888285</v>
      </c>
      <c r="I68" t="str" cm="1">
        <f t="array" ref="I68">_xlfn.IFS(H68&gt;90,"Sangat Bagus",H68&gt;80,"Bagus",H68&gt;65,"Cukup Bagus",TRUE,"Kurang")</f>
        <v>Bagus</v>
      </c>
    </row>
    <row r="69" spans="1:9" x14ac:dyDescent="0.3">
      <c r="A69" s="5">
        <v>85.159012680191509</v>
      </c>
      <c r="B69" t="str">
        <f t="shared" si="1"/>
        <v>Bagus</v>
      </c>
      <c r="H69" s="5">
        <v>85.159012680191509</v>
      </c>
      <c r="I69" t="str" cm="1">
        <f t="array" ref="I69">_xlfn.IFS(H69&gt;90,"Sangat Bagus",H69&gt;80,"Bagus",H69&gt;65,"Cukup Bagus",TRUE,"Kurang")</f>
        <v>Bagus</v>
      </c>
    </row>
    <row r="70" spans="1:9" x14ac:dyDescent="0.3">
      <c r="A70" s="4">
        <v>87.766802403639218</v>
      </c>
      <c r="B70" t="str">
        <f t="shared" si="1"/>
        <v>Bagus</v>
      </c>
      <c r="H70" s="4">
        <v>87.766802403639218</v>
      </c>
      <c r="I70" t="str" cm="1">
        <f t="array" ref="I70">_xlfn.IFS(H70&gt;90,"Sangat Bagus",H70&gt;80,"Bagus",H70&gt;65,"Cukup Bagus",TRUE,"Kurang")</f>
        <v>Bagus</v>
      </c>
    </row>
    <row r="71" spans="1:9" x14ac:dyDescent="0.3">
      <c r="A71" s="5">
        <v>91.150254056881437</v>
      </c>
      <c r="B71" t="str">
        <f t="shared" si="1"/>
        <v>Bagus</v>
      </c>
      <c r="H71" s="5">
        <v>91.150254056881437</v>
      </c>
      <c r="I71" t="str" cm="1">
        <f t="array" ref="I71">_xlfn.IFS(H71&gt;90,"Sangat Bagus",H71&gt;80,"Bagus",H71&gt;65,"Cukup Bagus",TRUE,"Kurang")</f>
        <v>Sangat Bagus</v>
      </c>
    </row>
    <row r="72" spans="1:9" x14ac:dyDescent="0.3">
      <c r="A72" s="4">
        <v>83.526906501830396</v>
      </c>
      <c r="B72" t="str">
        <f t="shared" si="1"/>
        <v>Bagus</v>
      </c>
      <c r="H72" s="4">
        <v>83.526906501830396</v>
      </c>
      <c r="I72" t="str" cm="1">
        <f t="array" ref="I72">_xlfn.IFS(H72&gt;90,"Sangat Bagus",H72&gt;80,"Bagus",H72&gt;65,"Cukup Bagus",TRUE,"Kurang")</f>
        <v>Bagus</v>
      </c>
    </row>
    <row r="73" spans="1:9" x14ac:dyDescent="0.3">
      <c r="A73" s="5">
        <v>78.072493373077563</v>
      </c>
      <c r="B73" t="str">
        <f t="shared" si="1"/>
        <v>Kurang</v>
      </c>
      <c r="H73" s="5">
        <v>78.072493373077563</v>
      </c>
      <c r="I73" t="str" cm="1">
        <f t="array" ref="I73">_xlfn.IFS(H73&gt;90,"Sangat Bagus",H73&gt;80,"Bagus",H73&gt;65,"Cukup Bagus",TRUE,"Kurang")</f>
        <v>Cukup Bagus</v>
      </c>
    </row>
    <row r="74" spans="1:9" x14ac:dyDescent="0.3">
      <c r="A74" s="4">
        <v>88.017215573386764</v>
      </c>
      <c r="B74" t="str">
        <f t="shared" si="1"/>
        <v>Bagus</v>
      </c>
      <c r="H74" s="4">
        <v>88.017215573386764</v>
      </c>
      <c r="I74" t="str" cm="1">
        <f t="array" ref="I74">_xlfn.IFS(H74&gt;90,"Sangat Bagus",H74&gt;80,"Bagus",H74&gt;65,"Cukup Bagus",TRUE,"Kurang")</f>
        <v>Bagus</v>
      </c>
    </row>
    <row r="75" spans="1:9" x14ac:dyDescent="0.3">
      <c r="A75" s="5">
        <v>82.87239771225282</v>
      </c>
      <c r="B75" t="str">
        <f t="shared" si="1"/>
        <v>Bagus</v>
      </c>
      <c r="H75" s="5">
        <v>82.87239771225282</v>
      </c>
      <c r="I75" t="str" cm="1">
        <f t="array" ref="I75">_xlfn.IFS(H75&gt;90,"Sangat Bagus",H75&gt;80,"Bagus",H75&gt;65,"Cukup Bagus",TRUE,"Kurang")</f>
        <v>Bagus</v>
      </c>
    </row>
    <row r="76" spans="1:9" x14ac:dyDescent="0.3">
      <c r="A76" s="4">
        <v>82.935974150597929</v>
      </c>
      <c r="B76" t="str">
        <f t="shared" si="1"/>
        <v>Bagus</v>
      </c>
      <c r="H76" s="4">
        <v>82.935974150597929</v>
      </c>
      <c r="I76" t="str" cm="1">
        <f t="array" ref="I76">_xlfn.IFS(H76&gt;90,"Sangat Bagus",H76&gt;80,"Bagus",H76&gt;65,"Cukup Bagus",TRUE,"Kurang")</f>
        <v>Bagus</v>
      </c>
    </row>
    <row r="77" spans="1:9" x14ac:dyDescent="0.3">
      <c r="A77" s="5">
        <v>88.076714109090091</v>
      </c>
      <c r="B77" t="str">
        <f t="shared" si="1"/>
        <v>Bagus</v>
      </c>
      <c r="H77" s="5">
        <v>88.076714109090091</v>
      </c>
      <c r="I77" t="str" cm="1">
        <f t="array" ref="I77">_xlfn.IFS(H77&gt;90,"Sangat Bagus",H77&gt;80,"Bagus",H77&gt;65,"Cukup Bagus",TRUE,"Kurang")</f>
        <v>Bagus</v>
      </c>
    </row>
    <row r="78" spans="1:9" x14ac:dyDescent="0.3">
      <c r="A78" s="4">
        <v>84.145680978846968</v>
      </c>
      <c r="B78" t="str">
        <f t="shared" si="1"/>
        <v>Bagus</v>
      </c>
      <c r="H78" s="4">
        <v>84.145680978846968</v>
      </c>
      <c r="I78" t="str" cm="1">
        <f t="array" ref="I78">_xlfn.IFS(H78&gt;90,"Sangat Bagus",H78&gt;80,"Bagus",H78&gt;65,"Cukup Bagus",TRUE,"Kurang")</f>
        <v>Bagus</v>
      </c>
    </row>
    <row r="79" spans="1:9" x14ac:dyDescent="0.3">
      <c r="A79" s="5">
        <v>81.337846863236393</v>
      </c>
      <c r="B79" t="str">
        <f t="shared" si="1"/>
        <v>Bagus</v>
      </c>
      <c r="H79" s="5">
        <v>81.337846863236393</v>
      </c>
      <c r="I79" t="str" cm="1">
        <f t="array" ref="I79">_xlfn.IFS(H79&gt;90,"Sangat Bagus",H79&gt;80,"Bagus",H79&gt;65,"Cukup Bagus",TRUE,"Kurang")</f>
        <v>Bagus</v>
      </c>
    </row>
    <row r="80" spans="1:9" x14ac:dyDescent="0.3">
      <c r="A80" s="4">
        <v>85.543910439247455</v>
      </c>
      <c r="B80" t="str">
        <f t="shared" si="1"/>
        <v>Bagus</v>
      </c>
      <c r="H80" s="4">
        <v>85.543910439247455</v>
      </c>
      <c r="I80" t="str" cm="1">
        <f t="array" ref="I80">_xlfn.IFS(H80&gt;90,"Sangat Bagus",H80&gt;80,"Bagus",H80&gt;65,"Cukup Bagus",TRUE,"Kurang")</f>
        <v>Bagus</v>
      </c>
    </row>
    <row r="81" spans="1:9" x14ac:dyDescent="0.3">
      <c r="A81" s="5">
        <v>84.583325912682866</v>
      </c>
      <c r="B81" t="str">
        <f t="shared" si="1"/>
        <v>Bagus</v>
      </c>
      <c r="H81" s="5">
        <v>84.583325912682866</v>
      </c>
      <c r="I81" t="str" cm="1">
        <f t="array" ref="I81">_xlfn.IFS(H81&gt;90,"Sangat Bagus",H81&gt;80,"Bagus",H81&gt;65,"Cukup Bagus",TRUE,"Kurang")</f>
        <v>Bagus</v>
      </c>
    </row>
    <row r="82" spans="1:9" x14ac:dyDescent="0.3">
      <c r="A82" s="4">
        <v>85.017292557699662</v>
      </c>
      <c r="B82" t="str">
        <f t="shared" si="1"/>
        <v>Bagus</v>
      </c>
      <c r="H82" s="4">
        <v>85.017292557699662</v>
      </c>
      <c r="I82" t="str" cm="1">
        <f t="array" ref="I82">_xlfn.IFS(H82&gt;90,"Sangat Bagus",H82&gt;80,"Bagus",H82&gt;65,"Cukup Bagus",TRUE,"Kurang")</f>
        <v>Bagus</v>
      </c>
    </row>
    <row r="83" spans="1:9" x14ac:dyDescent="0.3">
      <c r="A83" s="5">
        <v>86.155841203378998</v>
      </c>
      <c r="B83" t="str">
        <f t="shared" si="1"/>
        <v>Bagus</v>
      </c>
      <c r="H83" s="5">
        <v>86.155841203378998</v>
      </c>
      <c r="I83" t="str" cm="1">
        <f t="array" ref="I83">_xlfn.IFS(H83&gt;90,"Sangat Bagus",H83&gt;80,"Bagus",H83&gt;65,"Cukup Bagus",TRUE,"Kurang")</f>
        <v>Bagus</v>
      </c>
    </row>
    <row r="84" spans="1:9" x14ac:dyDescent="0.3">
      <c r="A84" s="4">
        <v>83.888019904622766</v>
      </c>
      <c r="B84" t="str">
        <f t="shared" si="1"/>
        <v>Bagus</v>
      </c>
      <c r="H84" s="4">
        <v>83.888019904622766</v>
      </c>
      <c r="I84" t="str" cm="1">
        <f t="array" ref="I84">_xlfn.IFS(H84&gt;90,"Sangat Bagus",H84&gt;80,"Bagus",H84&gt;65,"Cukup Bagus",TRUE,"Kurang")</f>
        <v>Bagus</v>
      </c>
    </row>
    <row r="85" spans="1:9" x14ac:dyDescent="0.3">
      <c r="A85" s="5">
        <v>86.933129645556505</v>
      </c>
      <c r="B85" t="str">
        <f t="shared" si="1"/>
        <v>Bagus</v>
      </c>
      <c r="H85" s="5">
        <v>86.933129645556505</v>
      </c>
      <c r="I85" t="str" cm="1">
        <f t="array" ref="I85">_xlfn.IFS(H85&gt;90,"Sangat Bagus",H85&gt;80,"Bagus",H85&gt;65,"Cukup Bagus",TRUE,"Kurang")</f>
        <v>Bagus</v>
      </c>
    </row>
    <row r="86" spans="1:9" x14ac:dyDescent="0.3">
      <c r="A86" s="4">
        <v>84.338540314543749</v>
      </c>
      <c r="B86" t="str">
        <f t="shared" si="1"/>
        <v>Bagus</v>
      </c>
      <c r="H86" s="4">
        <v>84.338540314543749</v>
      </c>
      <c r="I86" t="str" cm="1">
        <f t="array" ref="I86">_xlfn.IFS(H86&gt;90,"Sangat Bagus",H86&gt;80,"Bagus",H86&gt;65,"Cukup Bagus",TRUE,"Kurang")</f>
        <v>Bagus</v>
      </c>
    </row>
    <row r="87" spans="1:9" x14ac:dyDescent="0.3">
      <c r="A87" s="5">
        <v>85.995345891747093</v>
      </c>
      <c r="B87" t="str">
        <f t="shared" si="1"/>
        <v>Bagus</v>
      </c>
      <c r="H87" s="5">
        <v>85.995345891747093</v>
      </c>
      <c r="I87" t="str" cm="1">
        <f t="array" ref="I87">_xlfn.IFS(H87&gt;90,"Sangat Bagus",H87&gt;80,"Bagus",H87&gt;65,"Cukup Bagus",TRUE,"Kurang")</f>
        <v>Bagus</v>
      </c>
    </row>
    <row r="88" spans="1:9" x14ac:dyDescent="0.3">
      <c r="A88" s="4">
        <v>88.290517039448048</v>
      </c>
      <c r="B88" t="str">
        <f t="shared" si="1"/>
        <v>Bagus</v>
      </c>
      <c r="H88" s="4">
        <v>88.290517039448048</v>
      </c>
      <c r="I88" t="str" cm="1">
        <f t="array" ref="I88">_xlfn.IFS(H88&gt;90,"Sangat Bagus",H88&gt;80,"Bagus",H88&gt;65,"Cukup Bagus",TRUE,"Kurang")</f>
        <v>Bagus</v>
      </c>
    </row>
    <row r="89" spans="1:9" x14ac:dyDescent="0.3">
      <c r="A89" s="5">
        <v>86.30554447250141</v>
      </c>
      <c r="B89" t="str">
        <f t="shared" si="1"/>
        <v>Bagus</v>
      </c>
      <c r="H89" s="5">
        <v>86.30554447250141</v>
      </c>
      <c r="I89" t="str" cm="1">
        <f t="array" ref="I89">_xlfn.IFS(H89&gt;90,"Sangat Bagus",H89&gt;80,"Bagus",H89&gt;65,"Cukup Bagus",TRUE,"Kurang")</f>
        <v>Bagus</v>
      </c>
    </row>
    <row r="90" spans="1:9" x14ac:dyDescent="0.3">
      <c r="A90" s="4">
        <v>84.022205243406319</v>
      </c>
      <c r="B90" t="str">
        <f t="shared" si="1"/>
        <v>Bagus</v>
      </c>
      <c r="H90" s="4">
        <v>84.022205243406319</v>
      </c>
      <c r="I90" t="str" cm="1">
        <f t="array" ref="I90">_xlfn.IFS(H90&gt;90,"Sangat Bagus",H90&gt;80,"Bagus",H90&gt;65,"Cukup Bagus",TRUE,"Kurang")</f>
        <v>Bagus</v>
      </c>
    </row>
    <row r="91" spans="1:9" x14ac:dyDescent="0.3">
      <c r="A91" s="5">
        <v>88.446422855353276</v>
      </c>
      <c r="B91" t="str">
        <f t="shared" si="1"/>
        <v>Bagus</v>
      </c>
      <c r="H91" s="5">
        <v>88.446422855353276</v>
      </c>
      <c r="I91" t="str" cm="1">
        <f t="array" ref="I91">_xlfn.IFS(H91&gt;90,"Sangat Bagus",H91&gt;80,"Bagus",H91&gt;65,"Cukup Bagus",TRUE,"Kurang")</f>
        <v>Bagus</v>
      </c>
    </row>
    <row r="92" spans="1:9" x14ac:dyDescent="0.3">
      <c r="A92" s="4">
        <v>87.980511567886353</v>
      </c>
      <c r="B92" t="str">
        <f t="shared" si="1"/>
        <v>Bagus</v>
      </c>
      <c r="H92" s="4">
        <v>87.980511567886353</v>
      </c>
      <c r="I92" t="str" cm="1">
        <f t="array" ref="I92">_xlfn.IFS(H92&gt;90,"Sangat Bagus",H92&gt;80,"Bagus",H92&gt;65,"Cukup Bagus",TRUE,"Kurang")</f>
        <v>Bagus</v>
      </c>
    </row>
    <row r="93" spans="1:9" x14ac:dyDescent="0.3">
      <c r="A93" s="5">
        <v>86.645190878524204</v>
      </c>
      <c r="B93" t="str">
        <f t="shared" si="1"/>
        <v>Bagus</v>
      </c>
      <c r="H93" s="5">
        <v>86.645190878524204</v>
      </c>
      <c r="I93" t="str" cm="1">
        <f t="array" ref="I93">_xlfn.IFS(H93&gt;90,"Sangat Bagus",H93&gt;80,"Bagus",H93&gt;65,"Cukup Bagus",TRUE,"Kurang")</f>
        <v>Bagus</v>
      </c>
    </row>
    <row r="94" spans="1:9" x14ac:dyDescent="0.3">
      <c r="A94" s="4">
        <v>85.71619520533433</v>
      </c>
      <c r="B94" t="str">
        <f t="shared" si="1"/>
        <v>Bagus</v>
      </c>
      <c r="H94" s="4">
        <v>85.71619520533433</v>
      </c>
      <c r="I94" t="str" cm="1">
        <f t="array" ref="I94">_xlfn.IFS(H94&gt;90,"Sangat Bagus",H94&gt;80,"Bagus",H94&gt;65,"Cukup Bagus",TRUE,"Kurang")</f>
        <v>Bagus</v>
      </c>
    </row>
    <row r="95" spans="1:9" x14ac:dyDescent="0.3">
      <c r="A95" s="5">
        <v>83.116281771881887</v>
      </c>
      <c r="B95" t="str">
        <f t="shared" si="1"/>
        <v>Bagus</v>
      </c>
      <c r="H95" s="5">
        <v>83.116281771881887</v>
      </c>
      <c r="I95" t="str" cm="1">
        <f t="array" ref="I95">_xlfn.IFS(H95&gt;90,"Sangat Bagus",H95&gt;80,"Bagus",H95&gt;65,"Cukup Bagus",TRUE,"Kurang")</f>
        <v>Bagus</v>
      </c>
    </row>
    <row r="96" spans="1:9" x14ac:dyDescent="0.3">
      <c r="A96" s="4">
        <v>89.081957345590027</v>
      </c>
      <c r="B96" t="str">
        <f t="shared" si="1"/>
        <v>Bagus</v>
      </c>
      <c r="H96" s="4">
        <v>89.081957345590027</v>
      </c>
      <c r="I96" t="str" cm="1">
        <f t="array" ref="I96">_xlfn.IFS(H96&gt;90,"Sangat Bagus",H96&gt;80,"Bagus",H96&gt;65,"Cukup Bagus",TRUE,"Kurang")</f>
        <v>Bagus</v>
      </c>
    </row>
    <row r="97" spans="1:9" x14ac:dyDescent="0.3">
      <c r="A97" s="5">
        <v>83.199221238558621</v>
      </c>
      <c r="B97" t="str">
        <f t="shared" si="1"/>
        <v>Bagus</v>
      </c>
      <c r="H97" s="5">
        <v>83.199221238558621</v>
      </c>
      <c r="I97" t="str" cm="1">
        <f t="array" ref="I97">_xlfn.IFS(H97&gt;90,"Sangat Bagus",H97&gt;80,"Bagus",H97&gt;65,"Cukup Bagus",TRUE,"Kurang")</f>
        <v>Bagus</v>
      </c>
    </row>
    <row r="98" spans="1:9" x14ac:dyDescent="0.3">
      <c r="A98" s="4">
        <v>91.561998979049733</v>
      </c>
      <c r="B98" t="str">
        <f t="shared" si="1"/>
        <v>Bagus</v>
      </c>
      <c r="H98" s="4">
        <v>91.561998979049733</v>
      </c>
      <c r="I98" t="str" cm="1">
        <f t="array" ref="I98">_xlfn.IFS(H98&gt;90,"Sangat Bagus",H98&gt;80,"Bagus",H98&gt;65,"Cukup Bagus",TRUE,"Kurang")</f>
        <v>Sangat Bagus</v>
      </c>
    </row>
    <row r="99" spans="1:9" x14ac:dyDescent="0.3">
      <c r="A99" s="5">
        <v>89.597831878555567</v>
      </c>
      <c r="B99" t="str">
        <f t="shared" si="1"/>
        <v>Bagus</v>
      </c>
      <c r="H99" s="5">
        <v>89.597831878555567</v>
      </c>
      <c r="I99" t="str" cm="1">
        <f t="array" ref="I99">_xlfn.IFS(H99&gt;90,"Sangat Bagus",H99&gt;80,"Bagus",H99&gt;65,"Cukup Bagus",TRUE,"Kurang")</f>
        <v>Bagus</v>
      </c>
    </row>
    <row r="100" spans="1:9" x14ac:dyDescent="0.3">
      <c r="A100" s="4">
        <v>84.292898922698569</v>
      </c>
      <c r="B100" t="str">
        <f t="shared" si="1"/>
        <v>Bagus</v>
      </c>
      <c r="H100" s="4">
        <v>84.292898922698569</v>
      </c>
      <c r="I100" t="str" cm="1">
        <f t="array" ref="I100">_xlfn.IFS(H100&gt;90,"Sangat Bagus",H100&gt;80,"Bagus",H100&gt;65,"Cukup Bagus",TRUE,"Kurang")</f>
        <v>Bagus</v>
      </c>
    </row>
    <row r="101" spans="1:9" x14ac:dyDescent="0.3">
      <c r="A101" s="5">
        <v>81.920737299079661</v>
      </c>
      <c r="B101" t="str">
        <f t="shared" si="1"/>
        <v>Bagus</v>
      </c>
      <c r="H101" s="5">
        <v>81.920737299079661</v>
      </c>
      <c r="I101" t="str" cm="1">
        <f t="array" ref="I101">_xlfn.IFS(H101&gt;90,"Sangat Bagus",H101&gt;80,"Bagus",H101&gt;65,"Cukup Bagus",TRUE,"Kurang")</f>
        <v>Bagus</v>
      </c>
    </row>
    <row r="102" spans="1:9" x14ac:dyDescent="0.3">
      <c r="A102" s="4">
        <v>87.868780308902103</v>
      </c>
      <c r="B102" t="str">
        <f t="shared" si="1"/>
        <v>Bagus</v>
      </c>
      <c r="H102" s="4">
        <v>87.868780308902103</v>
      </c>
      <c r="I102" t="str" cm="1">
        <f t="array" ref="I102">_xlfn.IFS(H102&gt;90,"Sangat Bagus",H102&gt;80,"Bagus",H102&gt;65,"Cukup Bagus",TRUE,"Kurang")</f>
        <v>Bagus</v>
      </c>
    </row>
    <row r="103" spans="1:9" x14ac:dyDescent="0.3">
      <c r="A103" s="5">
        <v>90.770651127469591</v>
      </c>
      <c r="B103" t="str">
        <f t="shared" si="1"/>
        <v>Bagus</v>
      </c>
      <c r="H103" s="5">
        <v>90.770651127469591</v>
      </c>
      <c r="I103" t="str" cm="1">
        <f t="array" ref="I103">_xlfn.IFS(H103&gt;90,"Sangat Bagus",H103&gt;80,"Bagus",H103&gt;65,"Cukup Bagus",TRUE,"Kurang")</f>
        <v>Sangat Bagus</v>
      </c>
    </row>
    <row r="104" spans="1:9" x14ac:dyDescent="0.3">
      <c r="A104" s="4">
        <v>89.259924364612885</v>
      </c>
      <c r="B104" t="str">
        <f t="shared" si="1"/>
        <v>Bagus</v>
      </c>
      <c r="H104" s="4">
        <v>89.259924364612885</v>
      </c>
      <c r="I104" t="str" cm="1">
        <f t="array" ref="I104">_xlfn.IFS(H104&gt;90,"Sangat Bagus",H104&gt;80,"Bagus",H104&gt;65,"Cukup Bagus",TRUE,"Kurang")</f>
        <v>Bagus</v>
      </c>
    </row>
    <row r="105" spans="1:9" x14ac:dyDescent="0.3">
      <c r="A105" s="5">
        <v>88.957372201806805</v>
      </c>
      <c r="B105" t="str">
        <f t="shared" si="1"/>
        <v>Bagus</v>
      </c>
      <c r="H105" s="5">
        <v>88.957372201806805</v>
      </c>
      <c r="I105" t="str" cm="1">
        <f t="array" ref="I105">_xlfn.IFS(H105&gt;90,"Sangat Bagus",H105&gt;80,"Bagus",H105&gt;65,"Cukup Bagus",TRUE,"Kurang")</f>
        <v>Bagus</v>
      </c>
    </row>
    <row r="106" spans="1:9" x14ac:dyDescent="0.3">
      <c r="A106" s="4">
        <v>87.145144298204954</v>
      </c>
      <c r="B106" t="str">
        <f t="shared" si="1"/>
        <v>Bagus</v>
      </c>
      <c r="H106" s="4">
        <v>87.145144298204954</v>
      </c>
      <c r="I106" t="str" cm="1">
        <f t="array" ref="I106">_xlfn.IFS(H106&gt;90,"Sangat Bagus",H106&gt;80,"Bagus",H106&gt;65,"Cukup Bagus",TRUE,"Kurang")</f>
        <v>Bagus</v>
      </c>
    </row>
    <row r="107" spans="1:9" x14ac:dyDescent="0.3">
      <c r="A107" s="5">
        <v>89.864916825573246</v>
      </c>
      <c r="B107" t="str">
        <f t="shared" si="1"/>
        <v>Bagus</v>
      </c>
      <c r="H107" s="5">
        <v>89.864916825573246</v>
      </c>
      <c r="I107" t="str" cm="1">
        <f t="array" ref="I107">_xlfn.IFS(H107&gt;90,"Sangat Bagus",H107&gt;80,"Bagus",H107&gt;65,"Cukup Bagus",TRUE,"Kurang")</f>
        <v>Bagus</v>
      </c>
    </row>
    <row r="108" spans="1:9" x14ac:dyDescent="0.3">
      <c r="A108" s="4">
        <v>87.645286591628775</v>
      </c>
      <c r="B108" t="str">
        <f t="shared" si="1"/>
        <v>Bagus</v>
      </c>
      <c r="H108" s="4">
        <v>87.645286591628775</v>
      </c>
      <c r="I108" t="str" cm="1">
        <f t="array" ref="I108">_xlfn.IFS(H108&gt;90,"Sangat Bagus",H108&gt;80,"Bagus",H108&gt;65,"Cukup Bagus",TRUE,"Kurang")</f>
        <v>Bagus</v>
      </c>
    </row>
    <row r="109" spans="1:9" x14ac:dyDescent="0.3">
      <c r="A109" s="5">
        <v>84.996174190235593</v>
      </c>
      <c r="B109" t="str">
        <f t="shared" si="1"/>
        <v>Bagus</v>
      </c>
      <c r="H109" s="5">
        <v>84.996174190235593</v>
      </c>
      <c r="I109" t="str" cm="1">
        <f t="array" ref="I109">_xlfn.IFS(H109&gt;90,"Sangat Bagus",H109&gt;80,"Bagus",H109&gt;65,"Cukup Bagus",TRUE,"Kurang")</f>
        <v>Bagus</v>
      </c>
    </row>
    <row r="110" spans="1:9" x14ac:dyDescent="0.3">
      <c r="A110" s="4">
        <v>88.85932043913671</v>
      </c>
      <c r="B110" t="str">
        <f t="shared" si="1"/>
        <v>Bagus</v>
      </c>
      <c r="H110" s="4">
        <v>88.85932043913671</v>
      </c>
      <c r="I110" t="str" cm="1">
        <f t="array" ref="I110">_xlfn.IFS(H110&gt;90,"Sangat Bagus",H110&gt;80,"Bagus",H110&gt;65,"Cukup Bagus",TRUE,"Kurang")</f>
        <v>Bagus</v>
      </c>
    </row>
    <row r="111" spans="1:9" x14ac:dyDescent="0.3">
      <c r="A111" s="5">
        <v>92.756989827182295</v>
      </c>
      <c r="B111" t="str">
        <f t="shared" si="1"/>
        <v>Bagus</v>
      </c>
      <c r="H111" s="5">
        <v>92.756989827182295</v>
      </c>
      <c r="I111" t="str" cm="1">
        <f t="array" ref="I111">_xlfn.IFS(H111&gt;90,"Sangat Bagus",H111&gt;80,"Bagus",H111&gt;65,"Cukup Bagus",TRUE,"Kurang")</f>
        <v>Sangat Bagus</v>
      </c>
    </row>
    <row r="112" spans="1:9" x14ac:dyDescent="0.3">
      <c r="A112" s="4">
        <v>88.273959112174822</v>
      </c>
      <c r="B112" t="str">
        <f t="shared" si="1"/>
        <v>Bagus</v>
      </c>
      <c r="H112" s="4">
        <v>88.273959112174822</v>
      </c>
      <c r="I112" t="str" cm="1">
        <f t="array" ref="I112">_xlfn.IFS(H112&gt;90,"Sangat Bagus",H112&gt;80,"Bagus",H112&gt;65,"Cukup Bagus",TRUE,"Kurang")</f>
        <v>Bagus</v>
      </c>
    </row>
    <row r="113" spans="1:9" x14ac:dyDescent="0.3">
      <c r="A113" s="5">
        <v>91.823892966675103</v>
      </c>
      <c r="B113" t="str">
        <f t="shared" si="1"/>
        <v>Bagus</v>
      </c>
      <c r="H113" s="5">
        <v>91.823892966675103</v>
      </c>
      <c r="I113" t="str" cm="1">
        <f t="array" ref="I113">_xlfn.IFS(H113&gt;90,"Sangat Bagus",H113&gt;80,"Bagus",H113&gt;65,"Cukup Bagus",TRUE,"Kurang")</f>
        <v>Sangat Bagus</v>
      </c>
    </row>
    <row r="114" spans="1:9" x14ac:dyDescent="0.3">
      <c r="A114" s="4">
        <v>85.14635187513251</v>
      </c>
      <c r="B114" t="str">
        <f t="shared" si="1"/>
        <v>Bagus</v>
      </c>
      <c r="H114" s="4">
        <v>85.14635187513251</v>
      </c>
      <c r="I114" t="str" cm="1">
        <f t="array" ref="I114">_xlfn.IFS(H114&gt;90,"Sangat Bagus",H114&gt;80,"Bagus",H114&gt;65,"Cukup Bagus",TRUE,"Kurang")</f>
        <v>Bagus</v>
      </c>
    </row>
    <row r="115" spans="1:9" x14ac:dyDescent="0.3">
      <c r="A115" s="5">
        <v>89.833314103426375</v>
      </c>
      <c r="B115" t="str">
        <f t="shared" si="1"/>
        <v>Bagus</v>
      </c>
      <c r="H115" s="5">
        <v>89.833314103426375</v>
      </c>
      <c r="I115" t="str" cm="1">
        <f t="array" ref="I115">_xlfn.IFS(H115&gt;90,"Sangat Bagus",H115&gt;80,"Bagus",H115&gt;65,"Cukup Bagus",TRUE,"Kurang")</f>
        <v>Bagus</v>
      </c>
    </row>
    <row r="116" spans="1:9" x14ac:dyDescent="0.3">
      <c r="A116" s="4">
        <v>91.55822161183039</v>
      </c>
      <c r="B116" t="str">
        <f t="shared" si="1"/>
        <v>Bagus</v>
      </c>
      <c r="H116" s="4">
        <v>91.55822161183039</v>
      </c>
      <c r="I116" t="str" cm="1">
        <f t="array" ref="I116">_xlfn.IFS(H116&gt;90,"Sangat Bagus",H116&gt;80,"Bagus",H116&gt;65,"Cukup Bagus",TRUE,"Kurang")</f>
        <v>Sangat Bagus</v>
      </c>
    </row>
    <row r="117" spans="1:9" x14ac:dyDescent="0.3">
      <c r="A117" s="5">
        <v>90.903460086500147</v>
      </c>
      <c r="B117" t="str">
        <f t="shared" si="1"/>
        <v>Bagus</v>
      </c>
      <c r="H117" s="5">
        <v>90.903460086500147</v>
      </c>
      <c r="I117" t="str" cm="1">
        <f t="array" ref="I117">_xlfn.IFS(H117&gt;90,"Sangat Bagus",H117&gt;80,"Bagus",H117&gt;65,"Cukup Bagus",TRUE,"Kurang")</f>
        <v>Sangat Bagus</v>
      </c>
    </row>
    <row r="118" spans="1:9" x14ac:dyDescent="0.3">
      <c r="A118" s="4">
        <v>90.317028582446824</v>
      </c>
      <c r="B118" t="str">
        <f t="shared" si="1"/>
        <v>Bagus</v>
      </c>
      <c r="H118" s="4">
        <v>90.317028582446824</v>
      </c>
      <c r="I118" t="str" cm="1">
        <f t="array" ref="I118">_xlfn.IFS(H118&gt;90,"Sangat Bagus",H118&gt;80,"Bagus",H118&gt;65,"Cukup Bagus",TRUE,"Kurang")</f>
        <v>Sangat Bagus</v>
      </c>
    </row>
    <row r="119" spans="1:9" x14ac:dyDescent="0.3">
      <c r="A119" s="5">
        <v>88.077881975083869</v>
      </c>
      <c r="B119" t="str">
        <f t="shared" si="1"/>
        <v>Bagus</v>
      </c>
      <c r="H119" s="5">
        <v>88.077881975083869</v>
      </c>
      <c r="I119" t="str" cm="1">
        <f t="array" ref="I119">_xlfn.IFS(H119&gt;90,"Sangat Bagus",H119&gt;80,"Bagus",H119&gt;65,"Cukup Bagus",TRUE,"Kurang")</f>
        <v>Bagus</v>
      </c>
    </row>
    <row r="120" spans="1:9" x14ac:dyDescent="0.3">
      <c r="A120" s="4">
        <v>87.450886961899258</v>
      </c>
      <c r="B120" t="str">
        <f t="shared" si="1"/>
        <v>Bagus</v>
      </c>
      <c r="H120" s="4">
        <v>87.450886961899258</v>
      </c>
      <c r="I120" t="str" cm="1">
        <f t="array" ref="I120">_xlfn.IFS(H120&gt;90,"Sangat Bagus",H120&gt;80,"Bagus",H120&gt;65,"Cukup Bagus",TRUE,"Kurang")</f>
        <v>Bagus</v>
      </c>
    </row>
    <row r="121" spans="1:9" x14ac:dyDescent="0.3">
      <c r="A121" s="5">
        <v>86.927613628185256</v>
      </c>
      <c r="B121" t="str">
        <f t="shared" si="1"/>
        <v>Bagus</v>
      </c>
      <c r="H121" s="5">
        <v>86.927613628185256</v>
      </c>
      <c r="I121" t="str" cm="1">
        <f t="array" ref="I121">_xlfn.IFS(H121&gt;90,"Sangat Bagus",H121&gt;80,"Bagus",H121&gt;65,"Cukup Bagus",TRUE,"Kurang")</f>
        <v>Bagus</v>
      </c>
    </row>
    <row r="122" spans="1:9" x14ac:dyDescent="0.3">
      <c r="A122" s="4">
        <v>90.352939791300372</v>
      </c>
      <c r="B122" t="str">
        <f t="shared" si="1"/>
        <v>Bagus</v>
      </c>
      <c r="H122" s="4">
        <v>90.352939791300372</v>
      </c>
      <c r="I122" t="str" cm="1">
        <f t="array" ref="I122">_xlfn.IFS(H122&gt;90,"Sangat Bagus",H122&gt;80,"Bagus",H122&gt;65,"Cukup Bagus",TRUE,"Kurang")</f>
        <v>Sangat Bagus</v>
      </c>
    </row>
    <row r="123" spans="1:9" x14ac:dyDescent="0.3">
      <c r="A123" s="5">
        <v>87.15757615744559</v>
      </c>
      <c r="B123" t="str">
        <f t="shared" si="1"/>
        <v>Bagus</v>
      </c>
      <c r="H123" s="5">
        <v>87.15757615744559</v>
      </c>
      <c r="I123" t="str" cm="1">
        <f t="array" ref="I123">_xlfn.IFS(H123&gt;90,"Sangat Bagus",H123&gt;80,"Bagus",H123&gt;65,"Cukup Bagus",TRUE,"Kurang")</f>
        <v>Bagus</v>
      </c>
    </row>
    <row r="124" spans="1:9" x14ac:dyDescent="0.3">
      <c r="A124" s="4">
        <v>88.528327668898001</v>
      </c>
      <c r="B124" t="str">
        <f t="shared" si="1"/>
        <v>Bagus</v>
      </c>
      <c r="H124" s="4">
        <v>88.528327668898001</v>
      </c>
      <c r="I124" t="str" cm="1">
        <f t="array" ref="I124">_xlfn.IFS(H124&gt;90,"Sangat Bagus",H124&gt;80,"Bagus",H124&gt;65,"Cukup Bagus",TRUE,"Kurang")</f>
        <v>Bagus</v>
      </c>
    </row>
    <row r="125" spans="1:9" x14ac:dyDescent="0.3">
      <c r="A125" s="5">
        <v>89.231723423405256</v>
      </c>
      <c r="B125" t="str">
        <f t="shared" si="1"/>
        <v>Bagus</v>
      </c>
      <c r="H125" s="5">
        <v>89.231723423405256</v>
      </c>
      <c r="I125" t="str" cm="1">
        <f t="array" ref="I125">_xlfn.IFS(H125&gt;90,"Sangat Bagus",H125&gt;80,"Bagus",H125&gt;65,"Cukup Bagus",TRUE,"Kurang")</f>
        <v>Bagus</v>
      </c>
    </row>
    <row r="126" spans="1:9" x14ac:dyDescent="0.3">
      <c r="A126" s="4">
        <v>95.531586015696618</v>
      </c>
      <c r="B126" t="str">
        <f t="shared" si="1"/>
        <v>Bagus</v>
      </c>
      <c r="H126" s="4">
        <v>95.531586015696618</v>
      </c>
      <c r="I126" t="str" cm="1">
        <f t="array" ref="I126">_xlfn.IFS(H126&gt;90,"Sangat Bagus",H126&gt;80,"Bagus",H126&gt;65,"Cukup Bagus",TRUE,"Kurang")</f>
        <v>Sangat Bagus</v>
      </c>
    </row>
    <row r="127" spans="1:9" x14ac:dyDescent="0.3">
      <c r="A127" s="5">
        <v>88.044150294913621</v>
      </c>
      <c r="B127" t="str">
        <f t="shared" si="1"/>
        <v>Bagus</v>
      </c>
      <c r="H127" s="5">
        <v>88.044150294913621</v>
      </c>
      <c r="I127" t="str" cm="1">
        <f t="array" ref="I127">_xlfn.IFS(H127&gt;90,"Sangat Bagus",H127&gt;80,"Bagus",H127&gt;65,"Cukup Bagus",TRUE,"Kurang")</f>
        <v>Bagus</v>
      </c>
    </row>
    <row r="128" spans="1:9" x14ac:dyDescent="0.3">
      <c r="A128" s="4">
        <v>90.706159716854572</v>
      </c>
      <c r="B128" t="str">
        <f t="shared" si="1"/>
        <v>Bagus</v>
      </c>
      <c r="H128" s="4">
        <v>90.706159716854572</v>
      </c>
      <c r="I128" t="str" cm="1">
        <f t="array" ref="I128">_xlfn.IFS(H128&gt;90,"Sangat Bagus",H128&gt;80,"Bagus",H128&gt;65,"Cukup Bagus",TRUE,"Kurang")</f>
        <v>Sangat Bagus</v>
      </c>
    </row>
    <row r="129" spans="1:9" x14ac:dyDescent="0.3">
      <c r="A129" s="5">
        <v>90.233882548691128</v>
      </c>
      <c r="B129" t="str">
        <f t="shared" si="1"/>
        <v>Bagus</v>
      </c>
      <c r="H129" s="5">
        <v>90.233882548691128</v>
      </c>
      <c r="I129" t="str" cm="1">
        <f t="array" ref="I129">_xlfn.IFS(H129&gt;90,"Sangat Bagus",H129&gt;80,"Bagus",H129&gt;65,"Cukup Bagus",TRUE,"Kurang")</f>
        <v>Sangat Bagus</v>
      </c>
    </row>
    <row r="130" spans="1:9" x14ac:dyDescent="0.3">
      <c r="A130" s="4">
        <v>87.114430097609613</v>
      </c>
      <c r="B130" t="str">
        <f t="shared" si="1"/>
        <v>Bagus</v>
      </c>
      <c r="H130" s="4">
        <v>87.114430097609613</v>
      </c>
      <c r="I130" t="str" cm="1">
        <f t="array" ref="I130">_xlfn.IFS(H130&gt;90,"Sangat Bagus",H130&gt;80,"Bagus",H130&gt;65,"Cukup Bagus",TRUE,"Kurang")</f>
        <v>Bagus</v>
      </c>
    </row>
    <row r="131" spans="1:9" x14ac:dyDescent="0.3">
      <c r="A131" s="5">
        <v>89.786075741629205</v>
      </c>
      <c r="B131" t="str">
        <f t="shared" ref="B131:B194" si="2">IF(A131&gt;80,"Bagus", "Kurang")</f>
        <v>Bagus</v>
      </c>
      <c r="H131" s="5">
        <v>89.786075741629205</v>
      </c>
      <c r="I131" t="str" cm="1">
        <f t="array" ref="I131">_xlfn.IFS(H131&gt;90,"Sangat Bagus",H131&gt;80,"Bagus",H131&gt;65,"Cukup Bagus",TRUE,"Kurang")</f>
        <v>Bagus</v>
      </c>
    </row>
    <row r="132" spans="1:9" x14ac:dyDescent="0.3">
      <c r="A132" s="4">
        <v>94.333652575270051</v>
      </c>
      <c r="B132" t="str">
        <f t="shared" si="2"/>
        <v>Bagus</v>
      </c>
      <c r="H132" s="4">
        <v>94.333652575270051</v>
      </c>
      <c r="I132" t="str" cm="1">
        <f t="array" ref="I132">_xlfn.IFS(H132&gt;90,"Sangat Bagus",H132&gt;80,"Bagus",H132&gt;65,"Cukup Bagus",TRUE,"Kurang")</f>
        <v>Sangat Bagus</v>
      </c>
    </row>
    <row r="133" spans="1:9" x14ac:dyDescent="0.3">
      <c r="A133" s="5">
        <v>91.354512159237643</v>
      </c>
      <c r="B133" t="str">
        <f t="shared" si="2"/>
        <v>Bagus</v>
      </c>
      <c r="H133" s="5">
        <v>91.354512159237643</v>
      </c>
      <c r="I133" t="str" cm="1">
        <f t="array" ref="I133">_xlfn.IFS(H133&gt;90,"Sangat Bagus",H133&gt;80,"Bagus",H133&gt;65,"Cukup Bagus",TRUE,"Kurang")</f>
        <v>Sangat Bagus</v>
      </c>
    </row>
    <row r="134" spans="1:9" x14ac:dyDescent="0.3">
      <c r="A134" s="4">
        <v>90.123698765978816</v>
      </c>
      <c r="B134" t="str">
        <f t="shared" si="2"/>
        <v>Bagus</v>
      </c>
      <c r="H134" s="4">
        <v>90.123698765978816</v>
      </c>
      <c r="I134" t="str" cm="1">
        <f t="array" ref="I134">_xlfn.IFS(H134&gt;90,"Sangat Bagus",H134&gt;80,"Bagus",H134&gt;65,"Cukup Bagus",TRUE,"Kurang")</f>
        <v>Sangat Bagus</v>
      </c>
    </row>
    <row r="135" spans="1:9" x14ac:dyDescent="0.3">
      <c r="A135" s="5">
        <v>88.732509502981131</v>
      </c>
      <c r="B135" t="str">
        <f t="shared" si="2"/>
        <v>Bagus</v>
      </c>
      <c r="H135" s="5">
        <v>88.732509502981131</v>
      </c>
      <c r="I135" t="str" cm="1">
        <f t="array" ref="I135">_xlfn.IFS(H135&gt;90,"Sangat Bagus",H135&gt;80,"Bagus",H135&gt;65,"Cukup Bagus",TRUE,"Kurang")</f>
        <v>Bagus</v>
      </c>
    </row>
    <row r="136" spans="1:9" x14ac:dyDescent="0.3">
      <c r="A136" s="4">
        <v>83.840258335378451</v>
      </c>
      <c r="B136" t="str">
        <f t="shared" si="2"/>
        <v>Bagus</v>
      </c>
      <c r="H136" s="4">
        <v>83.840258335378451</v>
      </c>
      <c r="I136" t="str" cm="1">
        <f t="array" ref="I136">_xlfn.IFS(H136&gt;90,"Sangat Bagus",H136&gt;80,"Bagus",H136&gt;65,"Cukup Bagus",TRUE,"Kurang")</f>
        <v>Bagus</v>
      </c>
    </row>
    <row r="137" spans="1:9" x14ac:dyDescent="0.3">
      <c r="A137" s="5">
        <v>93.394011640242525</v>
      </c>
      <c r="B137" t="str">
        <f t="shared" si="2"/>
        <v>Bagus</v>
      </c>
      <c r="H137" s="5">
        <v>93.394011640242525</v>
      </c>
      <c r="I137" t="str" cm="1">
        <f t="array" ref="I137">_xlfn.IFS(H137&gt;90,"Sangat Bagus",H137&gt;80,"Bagus",H137&gt;65,"Cukup Bagus",TRUE,"Kurang")</f>
        <v>Sangat Bagus</v>
      </c>
    </row>
    <row r="138" spans="1:9" x14ac:dyDescent="0.3">
      <c r="A138" s="4">
        <v>85.61807978722554</v>
      </c>
      <c r="B138" t="str">
        <f t="shared" si="2"/>
        <v>Bagus</v>
      </c>
      <c r="H138" s="4">
        <v>85.61807978722554</v>
      </c>
      <c r="I138" t="str" cm="1">
        <f t="array" ref="I138">_xlfn.IFS(H138&gt;90,"Sangat Bagus",H138&gt;80,"Bagus",H138&gt;65,"Cukup Bagus",TRUE,"Kurang")</f>
        <v>Bagus</v>
      </c>
    </row>
    <row r="139" spans="1:9" x14ac:dyDescent="0.3">
      <c r="A139" s="5">
        <v>92.219842532632001</v>
      </c>
      <c r="B139" t="str">
        <f t="shared" si="2"/>
        <v>Bagus</v>
      </c>
      <c r="H139" s="5">
        <v>92.219842532632001</v>
      </c>
      <c r="I139" t="str" cm="1">
        <f t="array" ref="I139">_xlfn.IFS(H139&gt;90,"Sangat Bagus",H139&gt;80,"Bagus",H139&gt;65,"Cukup Bagus",TRUE,"Kurang")</f>
        <v>Sangat Bagus</v>
      </c>
    </row>
    <row r="140" spans="1:9" x14ac:dyDescent="0.3">
      <c r="A140" s="4">
        <v>95.72731070765245</v>
      </c>
      <c r="B140" t="str">
        <f t="shared" si="2"/>
        <v>Bagus</v>
      </c>
      <c r="H140" s="4">
        <v>95.72731070765245</v>
      </c>
      <c r="I140" t="str" cm="1">
        <f t="array" ref="I140">_xlfn.IFS(H140&gt;90,"Sangat Bagus",H140&gt;80,"Bagus",H140&gt;65,"Cukup Bagus",TRUE,"Kurang")</f>
        <v>Sangat Bagus</v>
      </c>
    </row>
    <row r="141" spans="1:9" x14ac:dyDescent="0.3">
      <c r="A141" s="5">
        <v>85.668320517084595</v>
      </c>
      <c r="B141" t="str">
        <f t="shared" si="2"/>
        <v>Bagus</v>
      </c>
      <c r="H141" s="5">
        <v>85.668320517084595</v>
      </c>
      <c r="I141" t="str" cm="1">
        <f t="array" ref="I141">_xlfn.IFS(H141&gt;90,"Sangat Bagus",H141&gt;80,"Bagus",H141&gt;65,"Cukup Bagus",TRUE,"Kurang")</f>
        <v>Bagus</v>
      </c>
    </row>
    <row r="142" spans="1:9" x14ac:dyDescent="0.3">
      <c r="A142" s="4">
        <v>92.105353006124133</v>
      </c>
      <c r="B142" t="str">
        <f t="shared" si="2"/>
        <v>Bagus</v>
      </c>
      <c r="H142" s="4">
        <v>92.105353006124133</v>
      </c>
      <c r="I142" t="str" cm="1">
        <f t="array" ref="I142">_xlfn.IFS(H142&gt;90,"Sangat Bagus",H142&gt;80,"Bagus",H142&gt;65,"Cukup Bagus",TRUE,"Kurang")</f>
        <v>Sangat Bagus</v>
      </c>
    </row>
    <row r="143" spans="1:9" x14ac:dyDescent="0.3">
      <c r="A143" s="5">
        <v>89.213407531792598</v>
      </c>
      <c r="B143" t="str">
        <f t="shared" si="2"/>
        <v>Bagus</v>
      </c>
      <c r="H143" s="5">
        <v>89.213407531792598</v>
      </c>
      <c r="I143" t="str" cm="1">
        <f t="array" ref="I143">_xlfn.IFS(H143&gt;90,"Sangat Bagus",H143&gt;80,"Bagus",H143&gt;65,"Cukup Bagus",TRUE,"Kurang")</f>
        <v>Bagus</v>
      </c>
    </row>
    <row r="144" spans="1:9" x14ac:dyDescent="0.3">
      <c r="A144" s="4">
        <v>85.283567522563544</v>
      </c>
      <c r="B144" t="str">
        <f t="shared" si="2"/>
        <v>Bagus</v>
      </c>
      <c r="H144" s="4">
        <v>85.283567522563544</v>
      </c>
      <c r="I144" t="str" cm="1">
        <f t="array" ref="I144">_xlfn.IFS(H144&gt;90,"Sangat Bagus",H144&gt;80,"Bagus",H144&gt;65,"Cukup Bagus",TRUE,"Kurang")</f>
        <v>Bagus</v>
      </c>
    </row>
    <row r="145" spans="1:9" x14ac:dyDescent="0.3">
      <c r="A145" s="5">
        <v>85.455997038654743</v>
      </c>
      <c r="B145" t="str">
        <f t="shared" si="2"/>
        <v>Bagus</v>
      </c>
      <c r="H145" s="5">
        <v>85.455997038654743</v>
      </c>
      <c r="I145" t="str" cm="1">
        <f t="array" ref="I145">_xlfn.IFS(H145&gt;90,"Sangat Bagus",H145&gt;80,"Bagus",H145&gt;65,"Cukup Bagus",TRUE,"Kurang")</f>
        <v>Bagus</v>
      </c>
    </row>
    <row r="146" spans="1:9" x14ac:dyDescent="0.3">
      <c r="A146" s="4">
        <v>85.195391479276225</v>
      </c>
      <c r="B146" t="str">
        <f t="shared" si="2"/>
        <v>Bagus</v>
      </c>
      <c r="H146" s="4">
        <v>85.195391479276225</v>
      </c>
      <c r="I146" t="str" cm="1">
        <f t="array" ref="I146">_xlfn.IFS(H146&gt;90,"Sangat Bagus",H146&gt;80,"Bagus",H146&gt;65,"Cukup Bagus",TRUE,"Kurang")</f>
        <v>Bagus</v>
      </c>
    </row>
    <row r="147" spans="1:9" x14ac:dyDescent="0.3">
      <c r="A147" s="5">
        <v>88.407280433489092</v>
      </c>
      <c r="B147" t="str">
        <f t="shared" si="2"/>
        <v>Bagus</v>
      </c>
      <c r="H147" s="5">
        <v>88.407280433489092</v>
      </c>
      <c r="I147" t="str" cm="1">
        <f t="array" ref="I147">_xlfn.IFS(H147&gt;90,"Sangat Bagus",H147&gt;80,"Bagus",H147&gt;65,"Cukup Bagus",TRUE,"Kurang")</f>
        <v>Bagus</v>
      </c>
    </row>
    <row r="148" spans="1:9" x14ac:dyDescent="0.3">
      <c r="A148" s="4">
        <v>85.614733245012303</v>
      </c>
      <c r="B148" t="str">
        <f t="shared" si="2"/>
        <v>Bagus</v>
      </c>
      <c r="H148" s="4">
        <v>85.614733245012303</v>
      </c>
      <c r="I148" t="str" cm="1">
        <f t="array" ref="I148">_xlfn.IFS(H148&gt;90,"Sangat Bagus",H148&gt;80,"Bagus",H148&gt;65,"Cukup Bagus",TRUE,"Kurang")</f>
        <v>Bagus</v>
      </c>
    </row>
    <row r="149" spans="1:9" x14ac:dyDescent="0.3">
      <c r="A149" s="5">
        <v>92.063750318927475</v>
      </c>
      <c r="B149" t="str">
        <f t="shared" si="2"/>
        <v>Bagus</v>
      </c>
      <c r="H149" s="5">
        <v>92.063750318927475</v>
      </c>
      <c r="I149" t="str" cm="1">
        <f t="array" ref="I149">_xlfn.IFS(H149&gt;90,"Sangat Bagus",H149&gt;80,"Bagus",H149&gt;65,"Cukup Bagus",TRUE,"Kurang")</f>
        <v>Sangat Bagus</v>
      </c>
    </row>
    <row r="150" spans="1:9" x14ac:dyDescent="0.3">
      <c r="A150" s="4">
        <v>96.300326821577016</v>
      </c>
      <c r="B150" t="str">
        <f t="shared" si="2"/>
        <v>Bagus</v>
      </c>
      <c r="H150" s="4">
        <v>96.300326821577016</v>
      </c>
      <c r="I150" t="str" cm="1">
        <f t="array" ref="I150">_xlfn.IFS(H150&gt;90,"Sangat Bagus",H150&gt;80,"Bagus",H150&gt;65,"Cukup Bagus",TRUE,"Kurang")</f>
        <v>Sangat Bagus</v>
      </c>
    </row>
    <row r="151" spans="1:9" x14ac:dyDescent="0.3">
      <c r="A151" s="5">
        <v>86.138908571894461</v>
      </c>
      <c r="B151" t="str">
        <f t="shared" si="2"/>
        <v>Bagus</v>
      </c>
      <c r="H151" s="5">
        <v>86.138908571894461</v>
      </c>
      <c r="I151" t="str" cm="1">
        <f t="array" ref="I151">_xlfn.IFS(H151&gt;90,"Sangat Bagus",H151&gt;80,"Bagus",H151&gt;65,"Cukup Bagus",TRUE,"Kurang")</f>
        <v>Bagus</v>
      </c>
    </row>
    <row r="152" spans="1:9" x14ac:dyDescent="0.3">
      <c r="A152" s="4">
        <v>92.363216542425533</v>
      </c>
      <c r="B152" t="str">
        <f t="shared" si="2"/>
        <v>Bagus</v>
      </c>
      <c r="H152" s="4">
        <v>92.363216542425533</v>
      </c>
      <c r="I152" t="str" cm="1">
        <f t="array" ref="I152">_xlfn.IFS(H152&gt;90,"Sangat Bagus",H152&gt;80,"Bagus",H152&gt;65,"Cukup Bagus",TRUE,"Kurang")</f>
        <v>Sangat Bagus</v>
      </c>
    </row>
    <row r="153" spans="1:9" x14ac:dyDescent="0.3">
      <c r="A153" s="5">
        <v>92.307126723002725</v>
      </c>
      <c r="B153" t="str">
        <f t="shared" si="2"/>
        <v>Bagus</v>
      </c>
      <c r="H153" s="5">
        <v>92.307126723002725</v>
      </c>
      <c r="I153" t="str" cm="1">
        <f t="array" ref="I153">_xlfn.IFS(H153&gt;90,"Sangat Bagus",H153&gt;80,"Bagus",H153&gt;65,"Cukup Bagus",TRUE,"Kurang")</f>
        <v>Sangat Bagus</v>
      </c>
    </row>
    <row r="154" spans="1:9" x14ac:dyDescent="0.3">
      <c r="A154" s="4">
        <v>90.996607736850351</v>
      </c>
      <c r="B154" t="str">
        <f t="shared" si="2"/>
        <v>Bagus</v>
      </c>
      <c r="H154" s="4">
        <v>90.996607736850351</v>
      </c>
      <c r="I154" t="str" cm="1">
        <f t="array" ref="I154">_xlfn.IFS(H154&gt;90,"Sangat Bagus",H154&gt;80,"Bagus",H154&gt;65,"Cukup Bagus",TRUE,"Kurang")</f>
        <v>Sangat Bagus</v>
      </c>
    </row>
    <row r="155" spans="1:9" x14ac:dyDescent="0.3">
      <c r="A155" s="5">
        <v>86.974870175168974</v>
      </c>
      <c r="B155" t="str">
        <f t="shared" si="2"/>
        <v>Bagus</v>
      </c>
      <c r="H155" s="5">
        <v>86.974870175168974</v>
      </c>
      <c r="I155" t="str" cm="1">
        <f t="array" ref="I155">_xlfn.IFS(H155&gt;90,"Sangat Bagus",H155&gt;80,"Bagus",H155&gt;65,"Cukup Bagus",TRUE,"Kurang")</f>
        <v>Bagus</v>
      </c>
    </row>
    <row r="156" spans="1:9" x14ac:dyDescent="0.3">
      <c r="A156" s="4">
        <v>89.641642180108022</v>
      </c>
      <c r="B156" t="str">
        <f t="shared" si="2"/>
        <v>Bagus</v>
      </c>
      <c r="H156" s="4">
        <v>89.641642180108022</v>
      </c>
      <c r="I156" t="str" cm="1">
        <f t="array" ref="I156">_xlfn.IFS(H156&gt;90,"Sangat Bagus",H156&gt;80,"Bagus",H156&gt;65,"Cukup Bagus",TRUE,"Kurang")</f>
        <v>Bagus</v>
      </c>
    </row>
    <row r="157" spans="1:9" x14ac:dyDescent="0.3">
      <c r="A157" s="5">
        <v>89.158813994489265</v>
      </c>
      <c r="B157" t="str">
        <f t="shared" si="2"/>
        <v>Bagus</v>
      </c>
      <c r="H157" s="5">
        <v>89.158813994489265</v>
      </c>
      <c r="I157" t="str" cm="1">
        <f t="array" ref="I157">_xlfn.IFS(H157&gt;90,"Sangat Bagus",H157&gt;80,"Bagus",H157&gt;65,"Cukup Bagus",TRUE,"Kurang")</f>
        <v>Bagus</v>
      </c>
    </row>
    <row r="158" spans="1:9" x14ac:dyDescent="0.3">
      <c r="A158" s="4">
        <v>91.688968599661436</v>
      </c>
      <c r="B158" t="str">
        <f t="shared" si="2"/>
        <v>Bagus</v>
      </c>
      <c r="H158" s="4">
        <v>91.688968599661436</v>
      </c>
      <c r="I158" t="str" cm="1">
        <f t="array" ref="I158">_xlfn.IFS(H158&gt;90,"Sangat Bagus",H158&gt;80,"Bagus",H158&gt;65,"Cukup Bagus",TRUE,"Kurang")</f>
        <v>Sangat Bagus</v>
      </c>
    </row>
    <row r="159" spans="1:9" x14ac:dyDescent="0.3">
      <c r="A159" s="5">
        <v>88.882683731688516</v>
      </c>
      <c r="B159" t="str">
        <f t="shared" si="2"/>
        <v>Bagus</v>
      </c>
      <c r="H159" s="5">
        <v>88.882683731688516</v>
      </c>
      <c r="I159" t="str" cm="1">
        <f t="array" ref="I159">_xlfn.IFS(H159&gt;90,"Sangat Bagus",H159&gt;80,"Bagus",H159&gt;65,"Cukup Bagus",TRUE,"Kurang")</f>
        <v>Bagus</v>
      </c>
    </row>
    <row r="160" spans="1:9" x14ac:dyDescent="0.3">
      <c r="A160" s="4">
        <v>92.930920160056857</v>
      </c>
      <c r="B160" t="str">
        <f t="shared" si="2"/>
        <v>Bagus</v>
      </c>
      <c r="H160" s="4">
        <v>92.930920160056857</v>
      </c>
      <c r="I160" t="str" cm="1">
        <f t="array" ref="I160">_xlfn.IFS(H160&gt;90,"Sangat Bagus",H160&gt;80,"Bagus",H160&gt;65,"Cukup Bagus",TRUE,"Kurang")</f>
        <v>Sangat Bagus</v>
      </c>
    </row>
    <row r="161" spans="1:9" x14ac:dyDescent="0.3">
      <c r="A161" s="5">
        <v>88.876257426698956</v>
      </c>
      <c r="B161" t="str">
        <f t="shared" si="2"/>
        <v>Bagus</v>
      </c>
      <c r="H161" s="5">
        <v>88.876257426698956</v>
      </c>
      <c r="I161" t="str" cm="1">
        <f t="array" ref="I161">_xlfn.IFS(H161&gt;90,"Sangat Bagus",H161&gt;80,"Bagus",H161&gt;65,"Cukup Bagus",TRUE,"Kurang")</f>
        <v>Bagus</v>
      </c>
    </row>
    <row r="162" spans="1:9" x14ac:dyDescent="0.3">
      <c r="A162" s="4">
        <v>93.158134396737992</v>
      </c>
      <c r="B162" t="str">
        <f t="shared" si="2"/>
        <v>Bagus</v>
      </c>
      <c r="H162" s="4">
        <v>93.158134396737992</v>
      </c>
      <c r="I162" t="str" cm="1">
        <f t="array" ref="I162">_xlfn.IFS(H162&gt;90,"Sangat Bagus",H162&gt;80,"Bagus",H162&gt;65,"Cukup Bagus",TRUE,"Kurang")</f>
        <v>Sangat Bagus</v>
      </c>
    </row>
    <row r="163" spans="1:9" x14ac:dyDescent="0.3">
      <c r="A163" s="5">
        <v>86.852468980001802</v>
      </c>
      <c r="B163" t="str">
        <f t="shared" si="2"/>
        <v>Bagus</v>
      </c>
      <c r="H163" s="5">
        <v>86.852468980001802</v>
      </c>
      <c r="I163" t="str" cm="1">
        <f t="array" ref="I163">_xlfn.IFS(H163&gt;90,"Sangat Bagus",H163&gt;80,"Bagus",H163&gt;65,"Cukup Bagus",TRUE,"Kurang")</f>
        <v>Bagus</v>
      </c>
    </row>
    <row r="164" spans="1:9" x14ac:dyDescent="0.3">
      <c r="A164" s="4">
        <v>86.219534265725656</v>
      </c>
      <c r="B164" t="str">
        <f t="shared" si="2"/>
        <v>Bagus</v>
      </c>
      <c r="H164" s="4">
        <v>86.219534265725656</v>
      </c>
      <c r="I164" t="str" cm="1">
        <f t="array" ref="I164">_xlfn.IFS(H164&gt;90,"Sangat Bagus",H164&gt;80,"Bagus",H164&gt;65,"Cukup Bagus",TRUE,"Kurang")</f>
        <v>Bagus</v>
      </c>
    </row>
    <row r="165" spans="1:9" x14ac:dyDescent="0.3">
      <c r="A165" s="5">
        <v>99.723119804827206</v>
      </c>
      <c r="B165" t="str">
        <f t="shared" si="2"/>
        <v>Bagus</v>
      </c>
      <c r="H165" s="5">
        <v>99.723119804827206</v>
      </c>
      <c r="I165" t="str" cm="1">
        <f t="array" ref="I165">_xlfn.IFS(H165&gt;90,"Sangat Bagus",H165&gt;80,"Bagus",H165&gt;65,"Cukup Bagus",TRUE,"Kurang")</f>
        <v>Sangat Bagus</v>
      </c>
    </row>
    <row r="166" spans="1:9" x14ac:dyDescent="0.3">
      <c r="A166" s="4">
        <v>88.749427235518709</v>
      </c>
      <c r="B166" t="str">
        <f t="shared" si="2"/>
        <v>Bagus</v>
      </c>
      <c r="H166" s="4">
        <v>88.749427235518709</v>
      </c>
      <c r="I166" t="str" cm="1">
        <f t="array" ref="I166">_xlfn.IFS(H166&gt;90,"Sangat Bagus",H166&gt;80,"Bagus",H166&gt;65,"Cukup Bagus",TRUE,"Kurang")</f>
        <v>Bagus</v>
      </c>
    </row>
    <row r="167" spans="1:9" x14ac:dyDescent="0.3">
      <c r="A167" s="5">
        <v>90.89468277462214</v>
      </c>
      <c r="B167" t="str">
        <f t="shared" si="2"/>
        <v>Bagus</v>
      </c>
      <c r="H167" s="5">
        <v>90.89468277462214</v>
      </c>
      <c r="I167" t="str" cm="1">
        <f t="array" ref="I167">_xlfn.IFS(H167&gt;90,"Sangat Bagus",H167&gt;80,"Bagus",H167&gt;65,"Cukup Bagus",TRUE,"Kurang")</f>
        <v>Sangat Bagus</v>
      </c>
    </row>
    <row r="168" spans="1:9" x14ac:dyDescent="0.3">
      <c r="A168" s="4">
        <v>91.909709022101552</v>
      </c>
      <c r="B168" t="str">
        <f t="shared" si="2"/>
        <v>Bagus</v>
      </c>
      <c r="H168" s="4">
        <v>91.909709022101552</v>
      </c>
      <c r="I168" t="str" cm="1">
        <f t="array" ref="I168">_xlfn.IFS(H168&gt;90,"Sangat Bagus",H168&gt;80,"Bagus",H168&gt;65,"Cukup Bagus",TRUE,"Kurang")</f>
        <v>Sangat Bagus</v>
      </c>
    </row>
    <row r="169" spans="1:9" x14ac:dyDescent="0.3">
      <c r="A169" s="5">
        <v>88.548658122873775</v>
      </c>
      <c r="B169" t="str">
        <f t="shared" si="2"/>
        <v>Bagus</v>
      </c>
      <c r="H169" s="5">
        <v>88.548658122873775</v>
      </c>
      <c r="I169" t="str" cm="1">
        <f t="array" ref="I169">_xlfn.IFS(H169&gt;90,"Sangat Bagus",H169&gt;80,"Bagus",H169&gt;65,"Cukup Bagus",TRUE,"Kurang")</f>
        <v>Bagus</v>
      </c>
    </row>
    <row r="170" spans="1:9" x14ac:dyDescent="0.3">
      <c r="A170" s="4">
        <v>91.550586132940822</v>
      </c>
      <c r="B170" t="str">
        <f t="shared" si="2"/>
        <v>Bagus</v>
      </c>
      <c r="H170" s="4">
        <v>91.550586132940822</v>
      </c>
      <c r="I170" t="str" cm="1">
        <f t="array" ref="I170">_xlfn.IFS(H170&gt;90,"Sangat Bagus",H170&gt;80,"Bagus",H170&gt;65,"Cukup Bagus",TRUE,"Kurang")</f>
        <v>Sangat Bagus</v>
      </c>
    </row>
    <row r="171" spans="1:9" x14ac:dyDescent="0.3">
      <c r="A171" s="5">
        <v>91.106893582155251</v>
      </c>
      <c r="B171" t="str">
        <f t="shared" si="2"/>
        <v>Bagus</v>
      </c>
      <c r="H171" s="5">
        <v>91.106893582155251</v>
      </c>
      <c r="I171" t="str" cm="1">
        <f t="array" ref="I171">_xlfn.IFS(H171&gt;90,"Sangat Bagus",H171&gt;80,"Bagus",H171&gt;65,"Cukup Bagus",TRUE,"Kurang")</f>
        <v>Sangat Bagus</v>
      </c>
    </row>
    <row r="172" spans="1:9" x14ac:dyDescent="0.3">
      <c r="A172" s="4">
        <v>89.353858477074922</v>
      </c>
      <c r="B172" t="str">
        <f t="shared" si="2"/>
        <v>Bagus</v>
      </c>
      <c r="H172" s="4">
        <v>89.353858477074922</v>
      </c>
      <c r="I172" t="str" cm="1">
        <f t="array" ref="I172">_xlfn.IFS(H172&gt;90,"Sangat Bagus",H172&gt;80,"Bagus",H172&gt;65,"Cukup Bagus",TRUE,"Kurang")</f>
        <v>Bagus</v>
      </c>
    </row>
    <row r="173" spans="1:9" x14ac:dyDescent="0.3">
      <c r="A173" s="5">
        <v>90.195879100575951</v>
      </c>
      <c r="B173" t="str">
        <f t="shared" si="2"/>
        <v>Bagus</v>
      </c>
      <c r="H173" s="5">
        <v>90.195879100575951</v>
      </c>
      <c r="I173" t="str" cm="1">
        <f t="array" ref="I173">_xlfn.IFS(H173&gt;90,"Sangat Bagus",H173&gt;80,"Bagus",H173&gt;65,"Cukup Bagus",TRUE,"Kurang")</f>
        <v>Sangat Bagus</v>
      </c>
    </row>
    <row r="174" spans="1:9" x14ac:dyDescent="0.3">
      <c r="A174" s="4">
        <v>89.897798238784603</v>
      </c>
      <c r="B174" t="str">
        <f t="shared" si="2"/>
        <v>Bagus</v>
      </c>
      <c r="H174" s="4">
        <v>89.897798238784603</v>
      </c>
      <c r="I174" t="str" cm="1">
        <f t="array" ref="I174">_xlfn.IFS(H174&gt;90,"Sangat Bagus",H174&gt;80,"Bagus",H174&gt;65,"Cukup Bagus",TRUE,"Kurang")</f>
        <v>Bagus</v>
      </c>
    </row>
    <row r="175" spans="1:9" x14ac:dyDescent="0.3">
      <c r="A175" s="5">
        <v>96.385355697048539</v>
      </c>
      <c r="B175" t="str">
        <f t="shared" si="2"/>
        <v>Bagus</v>
      </c>
      <c r="H175" s="5">
        <v>96.385355697048539</v>
      </c>
      <c r="I175" t="str" cm="1">
        <f t="array" ref="I175">_xlfn.IFS(H175&gt;90,"Sangat Bagus",H175&gt;80,"Bagus",H175&gt;65,"Cukup Bagus",TRUE,"Kurang")</f>
        <v>Sangat Bagus</v>
      </c>
    </row>
    <row r="176" spans="1:9" x14ac:dyDescent="0.3">
      <c r="A176" s="4">
        <v>87.775991711181518</v>
      </c>
      <c r="B176" t="str">
        <f t="shared" si="2"/>
        <v>Bagus</v>
      </c>
      <c r="H176" s="4">
        <v>87.775991711181518</v>
      </c>
      <c r="I176" t="str" cm="1">
        <f t="array" ref="I176">_xlfn.IFS(H176&gt;90,"Sangat Bagus",H176&gt;80,"Bagus",H176&gt;65,"Cukup Bagus",TRUE,"Kurang")</f>
        <v>Bagus</v>
      </c>
    </row>
    <row r="177" spans="1:9" x14ac:dyDescent="0.3">
      <c r="A177" s="5">
        <v>86.712011198776011</v>
      </c>
      <c r="B177" t="str">
        <f t="shared" si="2"/>
        <v>Bagus</v>
      </c>
      <c r="H177" s="5">
        <v>86.712011198776011</v>
      </c>
      <c r="I177" t="str" cm="1">
        <f t="array" ref="I177">_xlfn.IFS(H177&gt;90,"Sangat Bagus",H177&gt;80,"Bagus",H177&gt;65,"Cukup Bagus",TRUE,"Kurang")</f>
        <v>Bagus</v>
      </c>
    </row>
    <row r="178" spans="1:9" x14ac:dyDescent="0.3">
      <c r="A178" s="4">
        <v>90.113365197513232</v>
      </c>
      <c r="B178" t="str">
        <f t="shared" si="2"/>
        <v>Bagus</v>
      </c>
      <c r="H178" s="4">
        <v>90.113365197513232</v>
      </c>
      <c r="I178" t="str" cm="1">
        <f t="array" ref="I178">_xlfn.IFS(H178&gt;90,"Sangat Bagus",H178&gt;80,"Bagus",H178&gt;65,"Cukup Bagus",TRUE,"Kurang")</f>
        <v>Sangat Bagus</v>
      </c>
    </row>
    <row r="179" spans="1:9" x14ac:dyDescent="0.3">
      <c r="A179" s="5">
        <v>90.931442248329418</v>
      </c>
      <c r="B179" t="str">
        <f t="shared" si="2"/>
        <v>Bagus</v>
      </c>
      <c r="H179" s="5">
        <v>90.931442248329418</v>
      </c>
      <c r="I179" t="str" cm="1">
        <f t="array" ref="I179">_xlfn.IFS(H179&gt;90,"Sangat Bagus",H179&gt;80,"Bagus",H179&gt;65,"Cukup Bagus",TRUE,"Kurang")</f>
        <v>Sangat Bagus</v>
      </c>
    </row>
    <row r="180" spans="1:9" x14ac:dyDescent="0.3">
      <c r="A180" s="4">
        <v>91.309570436730553</v>
      </c>
      <c r="B180" t="str">
        <f t="shared" si="2"/>
        <v>Bagus</v>
      </c>
      <c r="H180" s="4">
        <v>91.309570436730553</v>
      </c>
      <c r="I180" t="str" cm="1">
        <f t="array" ref="I180">_xlfn.IFS(H180&gt;90,"Sangat Bagus",H180&gt;80,"Bagus",H180&gt;65,"Cukup Bagus",TRUE,"Kurang")</f>
        <v>Sangat Bagus</v>
      </c>
    </row>
    <row r="181" spans="1:9" x14ac:dyDescent="0.3">
      <c r="A181" s="5">
        <v>88.624904001866682</v>
      </c>
      <c r="B181" t="str">
        <f t="shared" si="2"/>
        <v>Bagus</v>
      </c>
      <c r="H181" s="5">
        <v>88.624904001866682</v>
      </c>
      <c r="I181" t="str" cm="1">
        <f t="array" ref="I181">_xlfn.IFS(H181&gt;90,"Sangat Bagus",H181&gt;80,"Bagus",H181&gt;65,"Cukup Bagus",TRUE,"Kurang")</f>
        <v>Bagus</v>
      </c>
    </row>
    <row r="182" spans="1:9" x14ac:dyDescent="0.3">
      <c r="A182" s="4">
        <v>86.810021598086422</v>
      </c>
      <c r="B182" t="str">
        <f t="shared" si="2"/>
        <v>Bagus</v>
      </c>
      <c r="H182" s="4">
        <v>86.810021598086422</v>
      </c>
      <c r="I182" t="str" cm="1">
        <f t="array" ref="I182">_xlfn.IFS(H182&gt;90,"Sangat Bagus",H182&gt;80,"Bagus",H182&gt;65,"Cukup Bagus",TRUE,"Kurang")</f>
        <v>Bagus</v>
      </c>
    </row>
    <row r="183" spans="1:9" x14ac:dyDescent="0.3">
      <c r="A183" s="5">
        <v>93.789555528268465</v>
      </c>
      <c r="B183" t="str">
        <f t="shared" si="2"/>
        <v>Bagus</v>
      </c>
      <c r="H183" s="5">
        <v>93.789555528268465</v>
      </c>
      <c r="I183" t="str" cm="1">
        <f t="array" ref="I183">_xlfn.IFS(H183&gt;90,"Sangat Bagus",H183&gt;80,"Bagus",H183&gt;65,"Cukup Bagus",TRUE,"Kurang")</f>
        <v>Sangat Bagus</v>
      </c>
    </row>
    <row r="184" spans="1:9" x14ac:dyDescent="0.3">
      <c r="A184" s="4">
        <v>88.951048836139336</v>
      </c>
      <c r="B184" t="str">
        <f t="shared" si="2"/>
        <v>Bagus</v>
      </c>
      <c r="H184" s="4">
        <v>88.951048836139336</v>
      </c>
      <c r="I184" t="str" cm="1">
        <f t="array" ref="I184">_xlfn.IFS(H184&gt;90,"Sangat Bagus",H184&gt;80,"Bagus",H184&gt;65,"Cukup Bagus",TRUE,"Kurang")</f>
        <v>Bagus</v>
      </c>
    </row>
    <row r="185" spans="1:9" x14ac:dyDescent="0.3">
      <c r="A185" s="5">
        <v>87.403461412039874</v>
      </c>
      <c r="B185" t="str">
        <f t="shared" si="2"/>
        <v>Bagus</v>
      </c>
      <c r="H185" s="5">
        <v>87.403461412039874</v>
      </c>
      <c r="I185" t="str" cm="1">
        <f t="array" ref="I185">_xlfn.IFS(H185&gt;90,"Sangat Bagus",H185&gt;80,"Bagus",H185&gt;65,"Cukup Bagus",TRUE,"Kurang")</f>
        <v>Bagus</v>
      </c>
    </row>
    <row r="186" spans="1:9" x14ac:dyDescent="0.3">
      <c r="A186" s="4">
        <v>89.291161293176714</v>
      </c>
      <c r="B186" t="str">
        <f t="shared" si="2"/>
        <v>Bagus</v>
      </c>
      <c r="H186" s="4">
        <v>89.291161293176714</v>
      </c>
      <c r="I186" t="str" cm="1">
        <f t="array" ref="I186">_xlfn.IFS(H186&gt;90,"Sangat Bagus",H186&gt;80,"Bagus",H186&gt;65,"Cukup Bagus",TRUE,"Kurang")</f>
        <v>Bagus</v>
      </c>
    </row>
    <row r="187" spans="1:9" x14ac:dyDescent="0.3">
      <c r="A187" s="5">
        <v>89.408472316954345</v>
      </c>
      <c r="B187" t="str">
        <f t="shared" si="2"/>
        <v>Bagus</v>
      </c>
      <c r="H187" s="5">
        <v>89.408472316954345</v>
      </c>
      <c r="I187" t="str" cm="1">
        <f t="array" ref="I187">_xlfn.IFS(H187&gt;90,"Sangat Bagus",H187&gt;80,"Bagus",H187&gt;65,"Cukup Bagus",TRUE,"Kurang")</f>
        <v>Bagus</v>
      </c>
    </row>
    <row r="188" spans="1:9" x14ac:dyDescent="0.3">
      <c r="A188" s="4">
        <v>93.329760869140927</v>
      </c>
      <c r="B188" t="str">
        <f t="shared" si="2"/>
        <v>Bagus</v>
      </c>
      <c r="H188" s="4">
        <v>93.329760869140927</v>
      </c>
      <c r="I188" t="str" cm="1">
        <f t="array" ref="I188">_xlfn.IFS(H188&gt;90,"Sangat Bagus",H188&gt;80,"Bagus",H188&gt;65,"Cukup Bagus",TRUE,"Kurang")</f>
        <v>Sangat Bagus</v>
      </c>
    </row>
    <row r="189" spans="1:9" x14ac:dyDescent="0.3">
      <c r="A189" s="5">
        <v>90.254211876591583</v>
      </c>
      <c r="B189" t="str">
        <f t="shared" si="2"/>
        <v>Bagus</v>
      </c>
      <c r="H189" s="5">
        <v>90.254211876591583</v>
      </c>
      <c r="I189" t="str" cm="1">
        <f t="array" ref="I189">_xlfn.IFS(H189&gt;90,"Sangat Bagus",H189&gt;80,"Bagus",H189&gt;65,"Cukup Bagus",TRUE,"Kurang")</f>
        <v>Sangat Bagus</v>
      </c>
    </row>
    <row r="190" spans="1:9" x14ac:dyDescent="0.3">
      <c r="A190" s="4">
        <v>92.262161355553559</v>
      </c>
      <c r="B190" t="str">
        <f t="shared" si="2"/>
        <v>Bagus</v>
      </c>
      <c r="H190" s="4">
        <v>92.262161355553559</v>
      </c>
      <c r="I190" t="str" cm="1">
        <f t="array" ref="I190">_xlfn.IFS(H190&gt;90,"Sangat Bagus",H190&gt;80,"Bagus",H190&gt;65,"Cukup Bagus",TRUE,"Kurang")</f>
        <v>Sangat Bagus</v>
      </c>
    </row>
    <row r="191" spans="1:9" x14ac:dyDescent="0.3">
      <c r="A191" s="5">
        <v>88.502123948483217</v>
      </c>
      <c r="B191" t="str">
        <f t="shared" si="2"/>
        <v>Bagus</v>
      </c>
      <c r="H191" s="5">
        <v>88.502123948483217</v>
      </c>
      <c r="I191" t="str" cm="1">
        <f t="array" ref="I191">_xlfn.IFS(H191&gt;90,"Sangat Bagus",H191&gt;80,"Bagus",H191&gt;65,"Cukup Bagus",TRUE,"Kurang")</f>
        <v>Bagus</v>
      </c>
    </row>
    <row r="192" spans="1:9" x14ac:dyDescent="0.3">
      <c r="A192" s="4">
        <v>90.643335928744804</v>
      </c>
      <c r="B192" t="str">
        <f t="shared" si="2"/>
        <v>Bagus</v>
      </c>
      <c r="H192" s="4">
        <v>90.643335928744804</v>
      </c>
      <c r="I192" t="str" cm="1">
        <f t="array" ref="I192">_xlfn.IFS(H192&gt;90,"Sangat Bagus",H192&gt;80,"Bagus",H192&gt;65,"Cukup Bagus",TRUE,"Kurang")</f>
        <v>Sangat Bagus</v>
      </c>
    </row>
    <row r="193" spans="1:9" x14ac:dyDescent="0.3">
      <c r="A193" s="5">
        <v>89.02594226552749</v>
      </c>
      <c r="B193" t="str">
        <f t="shared" si="2"/>
        <v>Bagus</v>
      </c>
      <c r="H193" s="5">
        <v>89.02594226552749</v>
      </c>
      <c r="I193" t="str" cm="1">
        <f t="array" ref="I193">_xlfn.IFS(H193&gt;90,"Sangat Bagus",H193&gt;80,"Bagus",H193&gt;65,"Cukup Bagus",TRUE,"Kurang")</f>
        <v>Bagus</v>
      </c>
    </row>
    <row r="194" spans="1:9" x14ac:dyDescent="0.3">
      <c r="A194" s="4">
        <v>90.283750584520718</v>
      </c>
      <c r="B194" t="str">
        <f t="shared" si="2"/>
        <v>Bagus</v>
      </c>
      <c r="H194" s="4">
        <v>90.283750584520718</v>
      </c>
      <c r="I194" t="str" cm="1">
        <f t="array" ref="I194">_xlfn.IFS(H194&gt;90,"Sangat Bagus",H194&gt;80,"Bagus",H194&gt;65,"Cukup Bagus",TRUE,"Kurang")</f>
        <v>Sangat Bagus</v>
      </c>
    </row>
    <row r="195" spans="1:9" x14ac:dyDescent="0.3">
      <c r="A195" s="5">
        <v>87.313909926067382</v>
      </c>
      <c r="B195" t="str">
        <f t="shared" ref="B195:B258" si="3">IF(A195&gt;80,"Bagus", "Kurang")</f>
        <v>Bagus</v>
      </c>
      <c r="H195" s="5">
        <v>87.313909926067382</v>
      </c>
      <c r="I195" t="str" cm="1">
        <f t="array" ref="I195">_xlfn.IFS(H195&gt;90,"Sangat Bagus",H195&gt;80,"Bagus",H195&gt;65,"Cukup Bagus",TRUE,"Kurang")</f>
        <v>Bagus</v>
      </c>
    </row>
    <row r="196" spans="1:9" x14ac:dyDescent="0.3">
      <c r="A196" s="4">
        <v>86.067595400016089</v>
      </c>
      <c r="B196" t="str">
        <f t="shared" si="3"/>
        <v>Bagus</v>
      </c>
      <c r="H196" s="4">
        <v>86.067595400016089</v>
      </c>
      <c r="I196" t="str" cm="1">
        <f t="array" ref="I196">_xlfn.IFS(H196&gt;90,"Sangat Bagus",H196&gt;80,"Bagus",H196&gt;65,"Cukup Bagus",TRUE,"Kurang")</f>
        <v>Bagus</v>
      </c>
    </row>
    <row r="197" spans="1:9" x14ac:dyDescent="0.3">
      <c r="A197" s="5">
        <v>95.991640154243896</v>
      </c>
      <c r="B197" t="str">
        <f t="shared" si="3"/>
        <v>Bagus</v>
      </c>
      <c r="H197" s="5">
        <v>95.991640154243896</v>
      </c>
      <c r="I197" t="str" cm="1">
        <f t="array" ref="I197">_xlfn.IFS(H197&gt;90,"Sangat Bagus",H197&gt;80,"Bagus",H197&gt;65,"Cukup Bagus",TRUE,"Kurang")</f>
        <v>Sangat Bagus</v>
      </c>
    </row>
    <row r="198" spans="1:9" x14ac:dyDescent="0.3">
      <c r="A198" s="4">
        <v>91.802126471017246</v>
      </c>
      <c r="B198" t="str">
        <f t="shared" si="3"/>
        <v>Bagus</v>
      </c>
      <c r="H198" s="4">
        <v>91.802126471017246</v>
      </c>
      <c r="I198" t="str" cm="1">
        <f t="array" ref="I198">_xlfn.IFS(H198&gt;90,"Sangat Bagus",H198&gt;80,"Bagus",H198&gt;65,"Cukup Bagus",TRUE,"Kurang")</f>
        <v>Sangat Bagus</v>
      </c>
    </row>
    <row r="199" spans="1:9" x14ac:dyDescent="0.3">
      <c r="A199" s="5">
        <v>86.246185915125167</v>
      </c>
      <c r="B199" t="str">
        <f t="shared" si="3"/>
        <v>Bagus</v>
      </c>
      <c r="H199" s="5">
        <v>86.246185915125167</v>
      </c>
      <c r="I199" t="str" cm="1">
        <f t="array" ref="I199">_xlfn.IFS(H199&gt;90,"Sangat Bagus",H199&gt;80,"Bagus",H199&gt;65,"Cukup Bagus",TRUE,"Kurang")</f>
        <v>Bagus</v>
      </c>
    </row>
    <row r="200" spans="1:9" x14ac:dyDescent="0.3">
      <c r="A200" s="4">
        <v>88.166502249958739</v>
      </c>
      <c r="B200" t="str">
        <f t="shared" si="3"/>
        <v>Bagus</v>
      </c>
      <c r="H200" s="4">
        <v>88.166502249958739</v>
      </c>
      <c r="I200" t="str" cm="1">
        <f t="array" ref="I200">_xlfn.IFS(H200&gt;90,"Sangat Bagus",H200&gt;80,"Bagus",H200&gt;65,"Cukup Bagus",TRUE,"Kurang")</f>
        <v>Bagus</v>
      </c>
    </row>
    <row r="201" spans="1:9" x14ac:dyDescent="0.3">
      <c r="A201" s="5">
        <v>86.443559746208066</v>
      </c>
      <c r="B201" t="str">
        <f t="shared" si="3"/>
        <v>Bagus</v>
      </c>
      <c r="H201" s="5">
        <v>86.443559746208066</v>
      </c>
      <c r="I201" t="str" cm="1">
        <f t="array" ref="I201">_xlfn.IFS(H201&gt;90,"Sangat Bagus",H201&gt;80,"Bagus",H201&gt;65,"Cukup Bagus",TRUE,"Kurang")</f>
        <v>Bagus</v>
      </c>
    </row>
    <row r="202" spans="1:9" x14ac:dyDescent="0.3">
      <c r="A202" s="4">
        <v>98.596431046651162</v>
      </c>
      <c r="B202" t="str">
        <f t="shared" si="3"/>
        <v>Bagus</v>
      </c>
      <c r="H202" s="4">
        <v>98.596431046651162</v>
      </c>
      <c r="I202" t="str" cm="1">
        <f t="array" ref="I202">_xlfn.IFS(H202&gt;90,"Sangat Bagus",H202&gt;80,"Bagus",H202&gt;65,"Cukup Bagus",TRUE,"Kurang")</f>
        <v>Sangat Bagus</v>
      </c>
    </row>
    <row r="203" spans="1:9" x14ac:dyDescent="0.3">
      <c r="A203" s="5">
        <v>95.937238929300534</v>
      </c>
      <c r="B203" t="str">
        <f t="shared" si="3"/>
        <v>Bagus</v>
      </c>
      <c r="H203" s="5">
        <v>95.937238929300534</v>
      </c>
      <c r="I203" t="str" cm="1">
        <f t="array" ref="I203">_xlfn.IFS(H203&gt;90,"Sangat Bagus",H203&gt;80,"Bagus",H203&gt;65,"Cukup Bagus",TRUE,"Kurang")</f>
        <v>Sangat Bagus</v>
      </c>
    </row>
    <row r="204" spans="1:9" x14ac:dyDescent="0.3">
      <c r="A204" s="4">
        <v>91.204564829910936</v>
      </c>
      <c r="B204" t="str">
        <f t="shared" si="3"/>
        <v>Bagus</v>
      </c>
      <c r="H204" s="4">
        <v>91.204564829910936</v>
      </c>
      <c r="I204" t="str" cm="1">
        <f t="array" ref="I204">_xlfn.IFS(H204&gt;90,"Sangat Bagus",H204&gt;80,"Bagus",H204&gt;65,"Cukup Bagus",TRUE,"Kurang")</f>
        <v>Sangat Bagus</v>
      </c>
    </row>
    <row r="205" spans="1:9" x14ac:dyDescent="0.3">
      <c r="A205" s="5">
        <v>93.629582177696264</v>
      </c>
      <c r="B205" t="str">
        <f t="shared" si="3"/>
        <v>Bagus</v>
      </c>
      <c r="H205" s="5">
        <v>93.629582177696264</v>
      </c>
      <c r="I205" t="str" cm="1">
        <f t="array" ref="I205">_xlfn.IFS(H205&gt;90,"Sangat Bagus",H205&gt;80,"Bagus",H205&gt;65,"Cukup Bagus",TRUE,"Kurang")</f>
        <v>Sangat Bagus</v>
      </c>
    </row>
    <row r="206" spans="1:9" x14ac:dyDescent="0.3">
      <c r="A206" s="4">
        <v>90.756980156243415</v>
      </c>
      <c r="B206" t="str">
        <f t="shared" si="3"/>
        <v>Bagus</v>
      </c>
      <c r="H206" s="4">
        <v>90.756980156243415</v>
      </c>
      <c r="I206" t="str" cm="1">
        <f t="array" ref="I206">_xlfn.IFS(H206&gt;90,"Sangat Bagus",H206&gt;80,"Bagus",H206&gt;65,"Cukup Bagus",TRUE,"Kurang")</f>
        <v>Sangat Bagus</v>
      </c>
    </row>
    <row r="207" spans="1:9" x14ac:dyDescent="0.3">
      <c r="A207" s="5">
        <v>90.57125931615326</v>
      </c>
      <c r="B207" t="str">
        <f t="shared" si="3"/>
        <v>Bagus</v>
      </c>
      <c r="H207" s="5">
        <v>90.57125931615326</v>
      </c>
      <c r="I207" t="str" cm="1">
        <f t="array" ref="I207">_xlfn.IFS(H207&gt;90,"Sangat Bagus",H207&gt;80,"Bagus",H207&gt;65,"Cukup Bagus",TRUE,"Kurang")</f>
        <v>Sangat Bagus</v>
      </c>
    </row>
    <row r="208" spans="1:9" x14ac:dyDescent="0.3">
      <c r="A208" s="4">
        <v>89.634191486449268</v>
      </c>
      <c r="B208" t="str">
        <f t="shared" si="3"/>
        <v>Bagus</v>
      </c>
      <c r="H208" s="4">
        <v>89.634191486449268</v>
      </c>
      <c r="I208" t="str" cm="1">
        <f t="array" ref="I208">_xlfn.IFS(H208&gt;90,"Sangat Bagus",H208&gt;80,"Bagus",H208&gt;65,"Cukup Bagus",TRUE,"Kurang")</f>
        <v>Bagus</v>
      </c>
    </row>
    <row r="209" spans="1:9" x14ac:dyDescent="0.3">
      <c r="A209" s="5">
        <v>90.216148197621465</v>
      </c>
      <c r="B209" t="str">
        <f t="shared" si="3"/>
        <v>Bagus</v>
      </c>
      <c r="H209" s="5">
        <v>90.216148197621465</v>
      </c>
      <c r="I209" t="str" cm="1">
        <f t="array" ref="I209">_xlfn.IFS(H209&gt;90,"Sangat Bagus",H209&gt;80,"Bagus",H209&gt;65,"Cukup Bagus",TRUE,"Kurang")</f>
        <v>Sangat Bagus</v>
      </c>
    </row>
    <row r="210" spans="1:9" x14ac:dyDescent="0.3">
      <c r="A210" s="4">
        <v>96.952722402010068</v>
      </c>
      <c r="B210" t="str">
        <f t="shared" si="3"/>
        <v>Bagus</v>
      </c>
      <c r="H210" s="4">
        <v>96.952722402010068</v>
      </c>
      <c r="I210" t="str" cm="1">
        <f t="array" ref="I210">_xlfn.IFS(H210&gt;90,"Sangat Bagus",H210&gt;80,"Bagus",H210&gt;65,"Cukup Bagus",TRUE,"Kurang")</f>
        <v>Sangat Bagus</v>
      </c>
    </row>
    <row r="211" spans="1:9" x14ac:dyDescent="0.3">
      <c r="A211" s="5">
        <v>91.837915624743673</v>
      </c>
      <c r="B211" t="str">
        <f t="shared" si="3"/>
        <v>Bagus</v>
      </c>
      <c r="H211" s="5">
        <v>91.837915624743673</v>
      </c>
      <c r="I211" t="str" cm="1">
        <f t="array" ref="I211">_xlfn.IFS(H211&gt;90,"Sangat Bagus",H211&gt;80,"Bagus",H211&gt;65,"Cukup Bagus",TRUE,"Kurang")</f>
        <v>Sangat Bagus</v>
      </c>
    </row>
    <row r="212" spans="1:9" x14ac:dyDescent="0.3">
      <c r="A212" s="4">
        <v>92.35773570928275</v>
      </c>
      <c r="B212" t="str">
        <f t="shared" si="3"/>
        <v>Bagus</v>
      </c>
      <c r="H212" s="4">
        <v>92.35773570928275</v>
      </c>
      <c r="I212" t="str" cm="1">
        <f t="array" ref="I212">_xlfn.IFS(H212&gt;90,"Sangat Bagus",H212&gt;80,"Bagus",H212&gt;65,"Cukup Bagus",TRUE,"Kurang")</f>
        <v>Sangat Bagus</v>
      </c>
    </row>
    <row r="213" spans="1:9" x14ac:dyDescent="0.3">
      <c r="A213" s="5">
        <v>92.731062288797276</v>
      </c>
      <c r="B213" t="str">
        <f t="shared" si="3"/>
        <v>Bagus</v>
      </c>
      <c r="H213" s="5">
        <v>92.731062288797276</v>
      </c>
      <c r="I213" t="str" cm="1">
        <f t="array" ref="I213">_xlfn.IFS(H213&gt;90,"Sangat Bagus",H213&gt;80,"Bagus",H213&gt;65,"Cukup Bagus",TRUE,"Kurang")</f>
        <v>Sangat Bagus</v>
      </c>
    </row>
    <row r="214" spans="1:9" x14ac:dyDescent="0.3">
      <c r="A214" s="4">
        <v>95.697427635456009</v>
      </c>
      <c r="B214" t="str">
        <f t="shared" si="3"/>
        <v>Bagus</v>
      </c>
      <c r="H214" s="4">
        <v>95.697427635456009</v>
      </c>
      <c r="I214" t="str" cm="1">
        <f t="array" ref="I214">_xlfn.IFS(H214&gt;90,"Sangat Bagus",H214&gt;80,"Bagus",H214&gt;65,"Cukup Bagus",TRUE,"Kurang")</f>
        <v>Sangat Bagus</v>
      </c>
    </row>
    <row r="215" spans="1:9" x14ac:dyDescent="0.3">
      <c r="A215" s="5">
        <v>90.451808507165666</v>
      </c>
      <c r="B215" t="str">
        <f t="shared" si="3"/>
        <v>Bagus</v>
      </c>
      <c r="H215" s="5">
        <v>90.451808507165666</v>
      </c>
      <c r="I215" t="str" cm="1">
        <f t="array" ref="I215">_xlfn.IFS(H215&gt;90,"Sangat Bagus",H215&gt;80,"Bagus",H215&gt;65,"Cukup Bagus",TRUE,"Kurang")</f>
        <v>Sangat Bagus</v>
      </c>
    </row>
    <row r="216" spans="1:9" x14ac:dyDescent="0.3">
      <c r="A216" s="4">
        <v>89.022478548823884</v>
      </c>
      <c r="B216" t="str">
        <f t="shared" si="3"/>
        <v>Bagus</v>
      </c>
      <c r="H216" s="4">
        <v>89.022478548823884</v>
      </c>
      <c r="I216" t="str" cm="1">
        <f t="array" ref="I216">_xlfn.IFS(H216&gt;90,"Sangat Bagus",H216&gt;80,"Bagus",H216&gt;65,"Cukup Bagus",TRUE,"Kurang")</f>
        <v>Bagus</v>
      </c>
    </row>
    <row r="217" spans="1:9" x14ac:dyDescent="0.3">
      <c r="A217" s="5">
        <v>97.027090797209567</v>
      </c>
      <c r="B217" t="str">
        <f t="shared" si="3"/>
        <v>Bagus</v>
      </c>
      <c r="H217" s="5">
        <v>97.027090797209567</v>
      </c>
      <c r="I217" t="str" cm="1">
        <f t="array" ref="I217">_xlfn.IFS(H217&gt;90,"Sangat Bagus",H217&gt;80,"Bagus",H217&gt;65,"Cukup Bagus",TRUE,"Kurang")</f>
        <v>Sangat Bagus</v>
      </c>
    </row>
    <row r="218" spans="1:9" x14ac:dyDescent="0.3">
      <c r="A218" s="4">
        <v>90.676510349284143</v>
      </c>
      <c r="B218" t="str">
        <f t="shared" si="3"/>
        <v>Bagus</v>
      </c>
      <c r="H218" s="4">
        <v>90.676510349284143</v>
      </c>
      <c r="I218" t="str" cm="1">
        <f t="array" ref="I218">_xlfn.IFS(H218&gt;90,"Sangat Bagus",H218&gt;80,"Bagus",H218&gt;65,"Cukup Bagus",TRUE,"Kurang")</f>
        <v>Sangat Bagus</v>
      </c>
    </row>
    <row r="219" spans="1:9" x14ac:dyDescent="0.3">
      <c r="A219" s="5">
        <v>89.830802090180384</v>
      </c>
      <c r="B219" t="str">
        <f t="shared" si="3"/>
        <v>Bagus</v>
      </c>
      <c r="H219" s="5">
        <v>89.830802090180384</v>
      </c>
      <c r="I219" t="str" cm="1">
        <f t="array" ref="I219">_xlfn.IFS(H219&gt;90,"Sangat Bagus",H219&gt;80,"Bagus",H219&gt;65,"Cukup Bagus",TRUE,"Kurang")</f>
        <v>Bagus</v>
      </c>
    </row>
    <row r="220" spans="1:9" x14ac:dyDescent="0.3">
      <c r="A220" s="4">
        <v>88.291180643350117</v>
      </c>
      <c r="B220" t="str">
        <f t="shared" si="3"/>
        <v>Bagus</v>
      </c>
      <c r="H220" s="4">
        <v>88.291180643350117</v>
      </c>
      <c r="I220" t="str" cm="1">
        <f t="array" ref="I220">_xlfn.IFS(H220&gt;90,"Sangat Bagus",H220&gt;80,"Bagus",H220&gt;65,"Cukup Bagus",TRUE,"Kurang")</f>
        <v>Bagus</v>
      </c>
    </row>
    <row r="221" spans="1:9" x14ac:dyDescent="0.3">
      <c r="A221" s="5">
        <v>88.145852833046604</v>
      </c>
      <c r="B221" t="str">
        <f t="shared" si="3"/>
        <v>Bagus</v>
      </c>
      <c r="H221" s="5">
        <v>88.145852833046604</v>
      </c>
      <c r="I221" t="str" cm="1">
        <f t="array" ref="I221">_xlfn.IFS(H221&gt;90,"Sangat Bagus",H221&gt;80,"Bagus",H221&gt;65,"Cukup Bagus",TRUE,"Kurang")</f>
        <v>Bagus</v>
      </c>
    </row>
    <row r="222" spans="1:9" x14ac:dyDescent="0.3">
      <c r="A222" s="4">
        <v>90.278079562106043</v>
      </c>
      <c r="B222" t="str">
        <f t="shared" si="3"/>
        <v>Bagus</v>
      </c>
      <c r="H222" s="4">
        <v>90.278079562106043</v>
      </c>
      <c r="I222" t="str" cm="1">
        <f t="array" ref="I222">_xlfn.IFS(H222&gt;90,"Sangat Bagus",H222&gt;80,"Bagus",H222&gt;65,"Cukup Bagus",TRUE,"Kurang")</f>
        <v>Sangat Bagus</v>
      </c>
    </row>
    <row r="223" spans="1:9" x14ac:dyDescent="0.3">
      <c r="A223" s="5">
        <v>93.853957451499582</v>
      </c>
      <c r="B223" t="str">
        <f t="shared" si="3"/>
        <v>Bagus</v>
      </c>
      <c r="H223" s="5">
        <v>93.853957451499582</v>
      </c>
      <c r="I223" t="str" cm="1">
        <f t="array" ref="I223">_xlfn.IFS(H223&gt;90,"Sangat Bagus",H223&gt;80,"Bagus",H223&gt;65,"Cukup Bagus",TRUE,"Kurang")</f>
        <v>Sangat Bagus</v>
      </c>
    </row>
    <row r="224" spans="1:9" x14ac:dyDescent="0.3">
      <c r="A224" s="4">
        <v>95.329544416789162</v>
      </c>
      <c r="B224" t="str">
        <f t="shared" si="3"/>
        <v>Bagus</v>
      </c>
      <c r="H224" s="4">
        <v>95.329544416789162</v>
      </c>
      <c r="I224" t="str" cm="1">
        <f t="array" ref="I224">_xlfn.IFS(H224&gt;90,"Sangat Bagus",H224&gt;80,"Bagus",H224&gt;65,"Cukup Bagus",TRUE,"Kurang")</f>
        <v>Sangat Bagus</v>
      </c>
    </row>
    <row r="225" spans="1:9" x14ac:dyDescent="0.3">
      <c r="A225" s="5">
        <v>94.122765061506769</v>
      </c>
      <c r="B225" t="str">
        <f t="shared" si="3"/>
        <v>Bagus</v>
      </c>
      <c r="H225" s="5">
        <v>94.122765061506769</v>
      </c>
      <c r="I225" t="str" cm="1">
        <f t="array" ref="I225">_xlfn.IFS(H225&gt;90,"Sangat Bagus",H225&gt;80,"Bagus",H225&gt;65,"Cukup Bagus",TRUE,"Kurang")</f>
        <v>Sangat Bagus</v>
      </c>
    </row>
    <row r="226" spans="1:9" x14ac:dyDescent="0.3">
      <c r="A226" s="4">
        <v>90.909028108714239</v>
      </c>
      <c r="B226" t="str">
        <f t="shared" si="3"/>
        <v>Bagus</v>
      </c>
      <c r="H226" s="4">
        <v>90.909028108714239</v>
      </c>
      <c r="I226" t="str" cm="1">
        <f t="array" ref="I226">_xlfn.IFS(H226&gt;90,"Sangat Bagus",H226&gt;80,"Bagus",H226&gt;65,"Cukup Bagus",TRUE,"Kurang")</f>
        <v>Sangat Bagus</v>
      </c>
    </row>
    <row r="227" spans="1:9" x14ac:dyDescent="0.3">
      <c r="A227" s="5">
        <v>92.179249812153799</v>
      </c>
      <c r="B227" t="str">
        <f t="shared" si="3"/>
        <v>Bagus</v>
      </c>
      <c r="H227" s="5">
        <v>92.179249812153799</v>
      </c>
      <c r="I227" t="str" cm="1">
        <f t="array" ref="I227">_xlfn.IFS(H227&gt;90,"Sangat Bagus",H227&gt;80,"Bagus",H227&gt;65,"Cukup Bagus",TRUE,"Kurang")</f>
        <v>Sangat Bagus</v>
      </c>
    </row>
    <row r="228" spans="1:9" x14ac:dyDescent="0.3">
      <c r="A228" s="4">
        <v>89.886210608959786</v>
      </c>
      <c r="B228" t="str">
        <f t="shared" si="3"/>
        <v>Bagus</v>
      </c>
      <c r="H228" s="4">
        <v>89.886210608959786</v>
      </c>
      <c r="I228" t="str" cm="1">
        <f t="array" ref="I228">_xlfn.IFS(H228&gt;90,"Sangat Bagus",H228&gt;80,"Bagus",H228&gt;65,"Cukup Bagus",TRUE,"Kurang")</f>
        <v>Bagus</v>
      </c>
    </row>
    <row r="229" spans="1:9" x14ac:dyDescent="0.3">
      <c r="A229" s="5">
        <v>89.84834551527797</v>
      </c>
      <c r="B229" t="str">
        <f t="shared" si="3"/>
        <v>Bagus</v>
      </c>
      <c r="H229" s="5">
        <v>89.84834551527797</v>
      </c>
      <c r="I229" t="str" cm="1">
        <f t="array" ref="I229">_xlfn.IFS(H229&gt;90,"Sangat Bagus",H229&gt;80,"Bagus",H229&gt;65,"Cukup Bagus",TRUE,"Kurang")</f>
        <v>Bagus</v>
      </c>
    </row>
    <row r="230" spans="1:9" x14ac:dyDescent="0.3">
      <c r="A230" s="4">
        <v>94.653951496930759</v>
      </c>
      <c r="B230" t="str">
        <f t="shared" si="3"/>
        <v>Bagus</v>
      </c>
      <c r="H230" s="4">
        <v>94.653951496930759</v>
      </c>
      <c r="I230" t="str" cm="1">
        <f t="array" ref="I230">_xlfn.IFS(H230&gt;90,"Sangat Bagus",H230&gt;80,"Bagus",H230&gt;65,"Cukup Bagus",TRUE,"Kurang")</f>
        <v>Sangat Bagus</v>
      </c>
    </row>
    <row r="231" spans="1:9" x14ac:dyDescent="0.3">
      <c r="A231" s="5">
        <v>88.953222264189364</v>
      </c>
      <c r="B231" t="str">
        <f t="shared" si="3"/>
        <v>Bagus</v>
      </c>
      <c r="H231" s="5">
        <v>88.953222264189364</v>
      </c>
      <c r="I231" t="str" cm="1">
        <f t="array" ref="I231">_xlfn.IFS(H231&gt;90,"Sangat Bagus",H231&gt;80,"Bagus",H231&gt;65,"Cukup Bagus",TRUE,"Kurang")</f>
        <v>Bagus</v>
      </c>
    </row>
    <row r="232" spans="1:9" x14ac:dyDescent="0.3">
      <c r="A232" s="4">
        <v>97.86588189647739</v>
      </c>
      <c r="B232" t="str">
        <f t="shared" si="3"/>
        <v>Bagus</v>
      </c>
      <c r="H232" s="4">
        <v>97.86588189647739</v>
      </c>
      <c r="I232" t="str" cm="1">
        <f t="array" ref="I232">_xlfn.IFS(H232&gt;90,"Sangat Bagus",H232&gt;80,"Bagus",H232&gt;65,"Cukup Bagus",TRUE,"Kurang")</f>
        <v>Sangat Bagus</v>
      </c>
    </row>
    <row r="233" spans="1:9" x14ac:dyDescent="0.3">
      <c r="A233" s="5">
        <v>91.729041218102452</v>
      </c>
      <c r="B233" t="str">
        <f t="shared" si="3"/>
        <v>Bagus</v>
      </c>
      <c r="H233" s="5">
        <v>91.729041218102452</v>
      </c>
      <c r="I233" t="str" cm="1">
        <f t="array" ref="I233">_xlfn.IFS(H233&gt;90,"Sangat Bagus",H233&gt;80,"Bagus",H233&gt;65,"Cukup Bagus",TRUE,"Kurang")</f>
        <v>Sangat Bagus</v>
      </c>
    </row>
    <row r="234" spans="1:9" x14ac:dyDescent="0.3">
      <c r="A234" s="4">
        <v>92.643616479887655</v>
      </c>
      <c r="B234" t="str">
        <f t="shared" si="3"/>
        <v>Bagus</v>
      </c>
      <c r="H234" s="4">
        <v>92.643616479887655</v>
      </c>
      <c r="I234" t="str" cm="1">
        <f t="array" ref="I234">_xlfn.IFS(H234&gt;90,"Sangat Bagus",H234&gt;80,"Bagus",H234&gt;65,"Cukup Bagus",TRUE,"Kurang")</f>
        <v>Sangat Bagus</v>
      </c>
    </row>
    <row r="235" spans="1:9" x14ac:dyDescent="0.3">
      <c r="A235" s="5">
        <v>89.784416885781283</v>
      </c>
      <c r="B235" t="str">
        <f t="shared" si="3"/>
        <v>Bagus</v>
      </c>
      <c r="H235" s="5">
        <v>89.784416885781283</v>
      </c>
      <c r="I235" t="str" cm="1">
        <f t="array" ref="I235">_xlfn.IFS(H235&gt;90,"Sangat Bagus",H235&gt;80,"Bagus",H235&gt;65,"Cukup Bagus",TRUE,"Kurang")</f>
        <v>Bagus</v>
      </c>
    </row>
    <row r="236" spans="1:9" x14ac:dyDescent="0.3">
      <c r="A236" s="4">
        <v>90.276833930710197</v>
      </c>
      <c r="B236" t="str">
        <f t="shared" si="3"/>
        <v>Bagus</v>
      </c>
      <c r="H236" s="4">
        <v>90.276833930710197</v>
      </c>
      <c r="I236" t="str" cm="1">
        <f t="array" ref="I236">_xlfn.IFS(H236&gt;90,"Sangat Bagus",H236&gt;80,"Bagus",H236&gt;65,"Cukup Bagus",TRUE,"Kurang")</f>
        <v>Sangat Bagus</v>
      </c>
    </row>
    <row r="237" spans="1:9" x14ac:dyDescent="0.3">
      <c r="A237" s="5">
        <v>88.048951603084276</v>
      </c>
      <c r="B237" t="str">
        <f t="shared" si="3"/>
        <v>Bagus</v>
      </c>
      <c r="H237" s="5">
        <v>88.048951603084276</v>
      </c>
      <c r="I237" t="str" cm="1">
        <f t="array" ref="I237">_xlfn.IFS(H237&gt;90,"Sangat Bagus",H237&gt;80,"Bagus",H237&gt;65,"Cukup Bagus",TRUE,"Kurang")</f>
        <v>Bagus</v>
      </c>
    </row>
    <row r="238" spans="1:9" x14ac:dyDescent="0.3">
      <c r="A238" s="4">
        <v>91.451223834881816</v>
      </c>
      <c r="B238" t="str">
        <f t="shared" si="3"/>
        <v>Bagus</v>
      </c>
      <c r="H238" s="4">
        <v>91.451223834881816</v>
      </c>
      <c r="I238" t="str" cm="1">
        <f t="array" ref="I238">_xlfn.IFS(H238&gt;90,"Sangat Bagus",H238&gt;80,"Bagus",H238&gt;65,"Cukup Bagus",TRUE,"Kurang")</f>
        <v>Sangat Bagus</v>
      </c>
    </row>
    <row r="239" spans="1:9" x14ac:dyDescent="0.3">
      <c r="A239" s="5">
        <v>93.25694721477339</v>
      </c>
      <c r="B239" t="str">
        <f t="shared" si="3"/>
        <v>Bagus</v>
      </c>
      <c r="H239" s="5">
        <v>93.25694721477339</v>
      </c>
      <c r="I239" t="str" cm="1">
        <f t="array" ref="I239">_xlfn.IFS(H239&gt;90,"Sangat Bagus",H239&gt;80,"Bagus",H239&gt;65,"Cukup Bagus",TRUE,"Kurang")</f>
        <v>Sangat Bagus</v>
      </c>
    </row>
    <row r="240" spans="1:9" x14ac:dyDescent="0.3">
      <c r="A240" s="4">
        <v>92.972913032484144</v>
      </c>
      <c r="B240" t="str">
        <f t="shared" si="3"/>
        <v>Bagus</v>
      </c>
      <c r="H240" s="4">
        <v>92.972913032484144</v>
      </c>
      <c r="I240" t="str" cm="1">
        <f t="array" ref="I240">_xlfn.IFS(H240&gt;90,"Sangat Bagus",H240&gt;80,"Bagus",H240&gt;65,"Cukup Bagus",TRUE,"Kurang")</f>
        <v>Sangat Bagus</v>
      </c>
    </row>
    <row r="241" spans="1:9" x14ac:dyDescent="0.3">
      <c r="A241" s="5">
        <v>89.655390538835746</v>
      </c>
      <c r="B241" t="str">
        <f t="shared" si="3"/>
        <v>Bagus</v>
      </c>
      <c r="H241" s="5">
        <v>89.655390538835746</v>
      </c>
      <c r="I241" t="str" cm="1">
        <f t="array" ref="I241">_xlfn.IFS(H241&gt;90,"Sangat Bagus",H241&gt;80,"Bagus",H241&gt;65,"Cukup Bagus",TRUE,"Kurang")</f>
        <v>Bagus</v>
      </c>
    </row>
    <row r="242" spans="1:9" x14ac:dyDescent="0.3">
      <c r="A242" s="4">
        <v>89.634134087437999</v>
      </c>
      <c r="B242" t="str">
        <f t="shared" si="3"/>
        <v>Bagus</v>
      </c>
      <c r="H242" s="4">
        <v>89.634134087437999</v>
      </c>
      <c r="I242" t="str" cm="1">
        <f t="array" ref="I242">_xlfn.IFS(H242&gt;90,"Sangat Bagus",H242&gt;80,"Bagus",H242&gt;65,"Cukup Bagus",TRUE,"Kurang")</f>
        <v>Bagus</v>
      </c>
    </row>
    <row r="243" spans="1:9" x14ac:dyDescent="0.3">
      <c r="A243" s="5">
        <v>90.493403844971411</v>
      </c>
      <c r="B243" t="str">
        <f t="shared" si="3"/>
        <v>Bagus</v>
      </c>
      <c r="H243" s="5">
        <v>90.493403844971411</v>
      </c>
      <c r="I243" t="str" cm="1">
        <f t="array" ref="I243">_xlfn.IFS(H243&gt;90,"Sangat Bagus",H243&gt;80,"Bagus",H243&gt;65,"Cukup Bagus",TRUE,"Kurang")</f>
        <v>Sangat Bagus</v>
      </c>
    </row>
    <row r="244" spans="1:9" x14ac:dyDescent="0.3">
      <c r="A244" s="4">
        <v>96.488182009539045</v>
      </c>
      <c r="B244" t="str">
        <f t="shared" si="3"/>
        <v>Bagus</v>
      </c>
      <c r="H244" s="4">
        <v>96.488182009539045</v>
      </c>
      <c r="I244" t="str" cm="1">
        <f t="array" ref="I244">_xlfn.IFS(H244&gt;90,"Sangat Bagus",H244&gt;80,"Bagus",H244&gt;65,"Cukup Bagus",TRUE,"Kurang")</f>
        <v>Sangat Bagus</v>
      </c>
    </row>
    <row r="245" spans="1:9" x14ac:dyDescent="0.3">
      <c r="A245" s="5">
        <v>88.588089138002772</v>
      </c>
      <c r="B245" t="str">
        <f t="shared" si="3"/>
        <v>Bagus</v>
      </c>
      <c r="H245" s="5">
        <v>88.588089138002772</v>
      </c>
      <c r="I245" t="str" cm="1">
        <f t="array" ref="I245">_xlfn.IFS(H245&gt;90,"Sangat Bagus",H245&gt;80,"Bagus",H245&gt;65,"Cukup Bagus",TRUE,"Kurang")</f>
        <v>Bagus</v>
      </c>
    </row>
    <row r="246" spans="1:9" x14ac:dyDescent="0.3">
      <c r="A246" s="4">
        <v>91.462845216859407</v>
      </c>
      <c r="B246" t="str">
        <f t="shared" si="3"/>
        <v>Bagus</v>
      </c>
      <c r="H246" s="4">
        <v>91.462845216859407</v>
      </c>
      <c r="I246" t="str" cm="1">
        <f t="array" ref="I246">_xlfn.IFS(H246&gt;90,"Sangat Bagus",H246&gt;80,"Bagus",H246&gt;65,"Cukup Bagus",TRUE,"Kurang")</f>
        <v>Sangat Bagus</v>
      </c>
    </row>
    <row r="247" spans="1:9" x14ac:dyDescent="0.3">
      <c r="A247" s="5">
        <v>97.707085465036783</v>
      </c>
      <c r="B247" t="str">
        <f t="shared" si="3"/>
        <v>Bagus</v>
      </c>
      <c r="H247" s="5">
        <v>97.707085465036783</v>
      </c>
      <c r="I247" t="str" cm="1">
        <f t="array" ref="I247">_xlfn.IFS(H247&gt;90,"Sangat Bagus",H247&gt;80,"Bagus",H247&gt;65,"Cukup Bagus",TRUE,"Kurang")</f>
        <v>Sangat Bagus</v>
      </c>
    </row>
    <row r="248" spans="1:9" x14ac:dyDescent="0.3">
      <c r="A248" s="4">
        <v>91.69707534401357</v>
      </c>
      <c r="B248" t="str">
        <f t="shared" si="3"/>
        <v>Bagus</v>
      </c>
      <c r="H248" s="4">
        <v>91.69707534401357</v>
      </c>
      <c r="I248" t="str" cm="1">
        <f t="array" ref="I248">_xlfn.IFS(H248&gt;90,"Sangat Bagus",H248&gt;80,"Bagus",H248&gt;65,"Cukup Bagus",TRUE,"Kurang")</f>
        <v>Sangat Bagus</v>
      </c>
    </row>
    <row r="249" spans="1:9" x14ac:dyDescent="0.3">
      <c r="A249" s="5">
        <v>87.920477888535814</v>
      </c>
      <c r="B249" t="str">
        <f t="shared" si="3"/>
        <v>Bagus</v>
      </c>
      <c r="H249" s="5">
        <v>87.920477888535814</v>
      </c>
      <c r="I249" t="str" cm="1">
        <f t="array" ref="I249">_xlfn.IFS(H249&gt;90,"Sangat Bagus",H249&gt;80,"Bagus",H249&gt;65,"Cukup Bagus",TRUE,"Kurang")</f>
        <v>Bagus</v>
      </c>
    </row>
    <row r="250" spans="1:9" x14ac:dyDescent="0.3">
      <c r="A250" s="4">
        <v>90.005691694177813</v>
      </c>
      <c r="B250" t="str">
        <f t="shared" si="3"/>
        <v>Bagus</v>
      </c>
      <c r="H250" s="4">
        <v>90.005691694177813</v>
      </c>
      <c r="I250" t="str" cm="1">
        <f t="array" ref="I250">_xlfn.IFS(H250&gt;90,"Sangat Bagus",H250&gt;80,"Bagus",H250&gt;65,"Cukup Bagus",TRUE,"Kurang")</f>
        <v>Sangat Bagus</v>
      </c>
    </row>
    <row r="251" spans="1:9" x14ac:dyDescent="0.3">
      <c r="A251" s="5">
        <v>93.45637993671464</v>
      </c>
      <c r="B251" t="str">
        <f t="shared" si="3"/>
        <v>Bagus</v>
      </c>
      <c r="H251" s="5">
        <v>93.45637993671464</v>
      </c>
      <c r="I251" t="str" cm="1">
        <f t="array" ref="I251">_xlfn.IFS(H251&gt;90,"Sangat Bagus",H251&gt;80,"Bagus",H251&gt;65,"Cukup Bagus",TRUE,"Kurang")</f>
        <v>Sangat Bagus</v>
      </c>
    </row>
    <row r="252" spans="1:9" x14ac:dyDescent="0.3">
      <c r="A252" s="4">
        <v>90.873191384990676</v>
      </c>
      <c r="B252" t="str">
        <f t="shared" si="3"/>
        <v>Bagus</v>
      </c>
      <c r="H252" s="4">
        <v>90.873191384990676</v>
      </c>
      <c r="I252" t="str" cm="1">
        <f t="array" ref="I252">_xlfn.IFS(H252&gt;90,"Sangat Bagus",H252&gt;80,"Bagus",H252&gt;65,"Cukup Bagus",TRUE,"Kurang")</f>
        <v>Sangat Bagus</v>
      </c>
    </row>
    <row r="253" spans="1:9" x14ac:dyDescent="0.3">
      <c r="A253" s="5">
        <v>90.314370909350657</v>
      </c>
      <c r="B253" t="str">
        <f t="shared" si="3"/>
        <v>Bagus</v>
      </c>
      <c r="H253" s="5">
        <v>90.314370909350657</v>
      </c>
      <c r="I253" t="str" cm="1">
        <f t="array" ref="I253">_xlfn.IFS(H253&gt;90,"Sangat Bagus",H253&gt;80,"Bagus",H253&gt;65,"Cukup Bagus",TRUE,"Kurang")</f>
        <v>Sangat Bagus</v>
      </c>
    </row>
    <row r="254" spans="1:9" x14ac:dyDescent="0.3">
      <c r="A254" s="4">
        <v>90.968248297614622</v>
      </c>
      <c r="B254" t="str">
        <f t="shared" si="3"/>
        <v>Bagus</v>
      </c>
      <c r="H254" s="4">
        <v>90.968248297614622</v>
      </c>
      <c r="I254" t="str" cm="1">
        <f t="array" ref="I254">_xlfn.IFS(H254&gt;90,"Sangat Bagus",H254&gt;80,"Bagus",H254&gt;65,"Cukup Bagus",TRUE,"Kurang")</f>
        <v>Sangat Bagus</v>
      </c>
    </row>
    <row r="255" spans="1:9" x14ac:dyDescent="0.3">
      <c r="A255" s="5">
        <v>92.27148994141767</v>
      </c>
      <c r="B255" t="str">
        <f t="shared" si="3"/>
        <v>Bagus</v>
      </c>
      <c r="H255" s="5">
        <v>92.27148994141767</v>
      </c>
      <c r="I255" t="str" cm="1">
        <f t="array" ref="I255">_xlfn.IFS(H255&gt;90,"Sangat Bagus",H255&gt;80,"Bagus",H255&gt;65,"Cukup Bagus",TRUE,"Kurang")</f>
        <v>Sangat Bagus</v>
      </c>
    </row>
    <row r="256" spans="1:9" x14ac:dyDescent="0.3">
      <c r="A256" s="4">
        <v>96.795526313437477</v>
      </c>
      <c r="B256" t="str">
        <f t="shared" si="3"/>
        <v>Bagus</v>
      </c>
      <c r="H256" s="4">
        <v>96.795526313437477</v>
      </c>
      <c r="I256" t="str" cm="1">
        <f t="array" ref="I256">_xlfn.IFS(H256&gt;90,"Sangat Bagus",H256&gt;80,"Bagus",H256&gt;65,"Cukup Bagus",TRUE,"Kurang")</f>
        <v>Sangat Bagus</v>
      </c>
    </row>
    <row r="257" spans="1:9" x14ac:dyDescent="0.3">
      <c r="A257" s="5">
        <v>91.734304663583345</v>
      </c>
      <c r="B257" t="str">
        <f t="shared" si="3"/>
        <v>Bagus</v>
      </c>
      <c r="H257" s="5">
        <v>91.734304663583345</v>
      </c>
      <c r="I257" t="str" cm="1">
        <f t="array" ref="I257">_xlfn.IFS(H257&gt;90,"Sangat Bagus",H257&gt;80,"Bagus",H257&gt;65,"Cukup Bagus",TRUE,"Kurang")</f>
        <v>Sangat Bagus</v>
      </c>
    </row>
    <row r="258" spans="1:9" x14ac:dyDescent="0.3">
      <c r="A258" s="4">
        <v>95.242398488454555</v>
      </c>
      <c r="B258" t="str">
        <f t="shared" si="3"/>
        <v>Bagus</v>
      </c>
      <c r="H258" s="4">
        <v>95.242398488454555</v>
      </c>
      <c r="I258" t="str" cm="1">
        <f t="array" ref="I258">_xlfn.IFS(H258&gt;90,"Sangat Bagus",H258&gt;80,"Bagus",H258&gt;65,"Cukup Bagus",TRUE,"Kurang")</f>
        <v>Sangat Bagus</v>
      </c>
    </row>
    <row r="259" spans="1:9" x14ac:dyDescent="0.3">
      <c r="A259" s="5">
        <v>93.892262346951696</v>
      </c>
      <c r="B259" t="str">
        <f t="shared" ref="B259:B301" si="4">IF(A259&gt;80,"Bagus", "Kurang")</f>
        <v>Bagus</v>
      </c>
      <c r="H259" s="5">
        <v>93.892262346951696</v>
      </c>
      <c r="I259" t="str" cm="1">
        <f t="array" ref="I259">_xlfn.IFS(H259&gt;90,"Sangat Bagus",H259&gt;80,"Bagus",H259&gt;65,"Cukup Bagus",TRUE,"Kurang")</f>
        <v>Sangat Bagus</v>
      </c>
    </row>
    <row r="260" spans="1:9" x14ac:dyDescent="0.3">
      <c r="A260" s="4">
        <v>91.659080313481581</v>
      </c>
      <c r="B260" t="str">
        <f t="shared" si="4"/>
        <v>Bagus</v>
      </c>
      <c r="H260" s="4">
        <v>91.659080313481581</v>
      </c>
      <c r="I260" t="str" cm="1">
        <f t="array" ref="I260">_xlfn.IFS(H260&gt;90,"Sangat Bagus",H260&gt;80,"Bagus",H260&gt;65,"Cukup Bagus",TRUE,"Kurang")</f>
        <v>Sangat Bagus</v>
      </c>
    </row>
    <row r="261" spans="1:9" x14ac:dyDescent="0.3">
      <c r="A261" s="5">
        <v>87.401293991328203</v>
      </c>
      <c r="B261" t="str">
        <f t="shared" si="4"/>
        <v>Bagus</v>
      </c>
      <c r="H261" s="5">
        <v>87.401293991328203</v>
      </c>
      <c r="I261" t="str" cm="1">
        <f t="array" ref="I261">_xlfn.IFS(H261&gt;90,"Sangat Bagus",H261&gt;80,"Bagus",H261&gt;65,"Cukup Bagus",TRUE,"Kurang")</f>
        <v>Bagus</v>
      </c>
    </row>
    <row r="262" spans="1:9" x14ac:dyDescent="0.3">
      <c r="A262" s="4">
        <v>90.436648047342445</v>
      </c>
      <c r="B262" t="str">
        <f t="shared" si="4"/>
        <v>Bagus</v>
      </c>
      <c r="H262" s="4">
        <v>90.436648047342445</v>
      </c>
      <c r="I262" t="str" cm="1">
        <f t="array" ref="I262">_xlfn.IFS(H262&gt;90,"Sangat Bagus",H262&gt;80,"Bagus",H262&gt;65,"Cukup Bagus",TRUE,"Kurang")</f>
        <v>Sangat Bagus</v>
      </c>
    </row>
    <row r="263" spans="1:9" x14ac:dyDescent="0.3">
      <c r="A263" s="5">
        <v>90.530388640584576</v>
      </c>
      <c r="B263" t="str">
        <f t="shared" si="4"/>
        <v>Bagus</v>
      </c>
      <c r="H263" s="5">
        <v>90.530388640584576</v>
      </c>
      <c r="I263" t="str" cm="1">
        <f t="array" ref="I263">_xlfn.IFS(H263&gt;90,"Sangat Bagus",H263&gt;80,"Bagus",H263&gt;65,"Cukup Bagus",TRUE,"Kurang")</f>
        <v>Sangat Bagus</v>
      </c>
    </row>
    <row r="264" spans="1:9" x14ac:dyDescent="0.3">
      <c r="A264" s="4">
        <v>92.141463298284577</v>
      </c>
      <c r="B264" t="str">
        <f t="shared" si="4"/>
        <v>Bagus</v>
      </c>
      <c r="H264" s="4">
        <v>92.141463298284577</v>
      </c>
      <c r="I264" t="str" cm="1">
        <f t="array" ref="I264">_xlfn.IFS(H264&gt;90,"Sangat Bagus",H264&gt;80,"Bagus",H264&gt;65,"Cukup Bagus",TRUE,"Kurang")</f>
        <v>Sangat Bagus</v>
      </c>
    </row>
    <row r="265" spans="1:9" x14ac:dyDescent="0.3">
      <c r="A265" s="5">
        <v>95.900596033000468</v>
      </c>
      <c r="B265" t="str">
        <f t="shared" si="4"/>
        <v>Bagus</v>
      </c>
      <c r="H265" s="5">
        <v>95.900596033000468</v>
      </c>
      <c r="I265" t="str" cm="1">
        <f t="array" ref="I265">_xlfn.IFS(H265&gt;90,"Sangat Bagus",H265&gt;80,"Bagus",H265&gt;65,"Cukup Bagus",TRUE,"Kurang")</f>
        <v>Sangat Bagus</v>
      </c>
    </row>
    <row r="266" spans="1:9" x14ac:dyDescent="0.3">
      <c r="A266" s="4">
        <v>98.879236921493288</v>
      </c>
      <c r="B266" t="str">
        <f t="shared" si="4"/>
        <v>Bagus</v>
      </c>
      <c r="H266" s="4">
        <v>98.879236921493288</v>
      </c>
      <c r="I266" t="str" cm="1">
        <f t="array" ref="I266">_xlfn.IFS(H266&gt;90,"Sangat Bagus",H266&gt;80,"Bagus",H266&gt;65,"Cukup Bagus",TRUE,"Kurang")</f>
        <v>Sangat Bagus</v>
      </c>
    </row>
    <row r="267" spans="1:9" x14ac:dyDescent="0.3">
      <c r="A267" s="5">
        <v>96.642743176951313</v>
      </c>
      <c r="B267" t="str">
        <f t="shared" si="4"/>
        <v>Bagus</v>
      </c>
      <c r="H267" s="5">
        <v>96.642743176951313</v>
      </c>
      <c r="I267" t="str" cm="1">
        <f t="array" ref="I267">_xlfn.IFS(H267&gt;90,"Sangat Bagus",H267&gt;80,"Bagus",H267&gt;65,"Cukup Bagus",TRUE,"Kurang")</f>
        <v>Sangat Bagus</v>
      </c>
    </row>
    <row r="268" spans="1:9" x14ac:dyDescent="0.3">
      <c r="A268" s="4">
        <v>91.60054710701317</v>
      </c>
      <c r="B268" t="str">
        <f t="shared" si="4"/>
        <v>Bagus</v>
      </c>
      <c r="H268" s="4">
        <v>91.60054710701317</v>
      </c>
      <c r="I268" t="str" cm="1">
        <f t="array" ref="I268">_xlfn.IFS(H268&gt;90,"Sangat Bagus",H268&gt;80,"Bagus",H268&gt;65,"Cukup Bagus",TRUE,"Kurang")</f>
        <v>Sangat Bagus</v>
      </c>
    </row>
    <row r="269" spans="1:9" x14ac:dyDescent="0.3">
      <c r="A269" s="5">
        <v>86.730417813327094</v>
      </c>
      <c r="B269" t="str">
        <f t="shared" si="4"/>
        <v>Bagus</v>
      </c>
      <c r="H269" s="5">
        <v>86.730417813327094</v>
      </c>
      <c r="I269" t="str" cm="1">
        <f t="array" ref="I269">_xlfn.IFS(H269&gt;90,"Sangat Bagus",H269&gt;80,"Bagus",H269&gt;65,"Cukup Bagus",TRUE,"Kurang")</f>
        <v>Bagus</v>
      </c>
    </row>
    <row r="270" spans="1:9" x14ac:dyDescent="0.3">
      <c r="A270" s="4">
        <v>90.833660407784777</v>
      </c>
      <c r="B270" t="str">
        <f t="shared" si="4"/>
        <v>Bagus</v>
      </c>
      <c r="H270" s="4">
        <v>90.833660407784777</v>
      </c>
      <c r="I270" t="str" cm="1">
        <f t="array" ref="I270">_xlfn.IFS(H270&gt;90,"Sangat Bagus",H270&gt;80,"Bagus",H270&gt;65,"Cukup Bagus",TRUE,"Kurang")</f>
        <v>Sangat Bagus</v>
      </c>
    </row>
    <row r="271" spans="1:9" x14ac:dyDescent="0.3">
      <c r="A271" s="5">
        <v>92.267621669219878</v>
      </c>
      <c r="B271" t="str">
        <f t="shared" si="4"/>
        <v>Bagus</v>
      </c>
      <c r="H271" s="5">
        <v>92.267621669219878</v>
      </c>
      <c r="I271" t="str" cm="1">
        <f t="array" ref="I271">_xlfn.IFS(H271&gt;90,"Sangat Bagus",H271&gt;80,"Bagus",H271&gt;65,"Cukup Bagus",TRUE,"Kurang")</f>
        <v>Sangat Bagus</v>
      </c>
    </row>
    <row r="272" spans="1:9" x14ac:dyDescent="0.3">
      <c r="A272" s="4">
        <v>94.535039012202304</v>
      </c>
      <c r="B272" t="str">
        <f t="shared" si="4"/>
        <v>Bagus</v>
      </c>
      <c r="H272" s="4">
        <v>94.535039012202304</v>
      </c>
      <c r="I272" t="str" cm="1">
        <f t="array" ref="I272">_xlfn.IFS(H272&gt;90,"Sangat Bagus",H272&gt;80,"Bagus",H272&gt;65,"Cukup Bagus",TRUE,"Kurang")</f>
        <v>Sangat Bagus</v>
      </c>
    </row>
    <row r="273" spans="1:9" x14ac:dyDescent="0.3">
      <c r="A273" s="5">
        <v>94.887583905452814</v>
      </c>
      <c r="B273" t="str">
        <f t="shared" si="4"/>
        <v>Bagus</v>
      </c>
      <c r="H273" s="5">
        <v>94.887583905452814</v>
      </c>
      <c r="I273" t="str" cm="1">
        <f t="array" ref="I273">_xlfn.IFS(H273&gt;90,"Sangat Bagus",H273&gt;80,"Bagus",H273&gt;65,"Cukup Bagus",TRUE,"Kurang")</f>
        <v>Sangat Bagus</v>
      </c>
    </row>
    <row r="274" spans="1:9" x14ac:dyDescent="0.3">
      <c r="A274" s="4">
        <v>94.05292828824939</v>
      </c>
      <c r="B274" t="str">
        <f t="shared" si="4"/>
        <v>Bagus</v>
      </c>
      <c r="H274" s="4">
        <v>94.05292828824939</v>
      </c>
      <c r="I274" t="str" cm="1">
        <f t="array" ref="I274">_xlfn.IFS(H274&gt;90,"Sangat Bagus",H274&gt;80,"Bagus",H274&gt;65,"Cukup Bagus",TRUE,"Kurang")</f>
        <v>Sangat Bagus</v>
      </c>
    </row>
    <row r="275" spans="1:9" x14ac:dyDescent="0.3">
      <c r="A275" s="5">
        <v>87.814176950601592</v>
      </c>
      <c r="B275" t="str">
        <f t="shared" si="4"/>
        <v>Bagus</v>
      </c>
      <c r="H275" s="5">
        <v>87.814176950601592</v>
      </c>
      <c r="I275" t="str" cm="1">
        <f t="array" ref="I275">_xlfn.IFS(H275&gt;90,"Sangat Bagus",H275&gt;80,"Bagus",H275&gt;65,"Cukup Bagus",TRUE,"Kurang")</f>
        <v>Bagus</v>
      </c>
    </row>
    <row r="276" spans="1:9" x14ac:dyDescent="0.3">
      <c r="A276" s="4">
        <v>94.548929136900071</v>
      </c>
      <c r="B276" t="str">
        <f t="shared" si="4"/>
        <v>Bagus</v>
      </c>
      <c r="H276" s="4">
        <v>94.548929136900071</v>
      </c>
      <c r="I276" t="str" cm="1">
        <f t="array" ref="I276">_xlfn.IFS(H276&gt;90,"Sangat Bagus",H276&gt;80,"Bagus",H276&gt;65,"Cukup Bagus",TRUE,"Kurang")</f>
        <v>Sangat Bagus</v>
      </c>
    </row>
    <row r="277" spans="1:9" x14ac:dyDescent="0.3">
      <c r="A277" s="5">
        <v>90.660328350718331</v>
      </c>
      <c r="B277" t="str">
        <f t="shared" si="4"/>
        <v>Bagus</v>
      </c>
      <c r="H277" s="5">
        <v>90.660328350718331</v>
      </c>
      <c r="I277" t="str" cm="1">
        <f t="array" ref="I277">_xlfn.IFS(H277&gt;90,"Sangat Bagus",H277&gt;80,"Bagus",H277&gt;65,"Cukup Bagus",TRUE,"Kurang")</f>
        <v>Sangat Bagus</v>
      </c>
    </row>
    <row r="278" spans="1:9" x14ac:dyDescent="0.3">
      <c r="A278" s="4">
        <v>92.524408100483768</v>
      </c>
      <c r="B278" t="str">
        <f t="shared" si="4"/>
        <v>Bagus</v>
      </c>
      <c r="H278" s="4">
        <v>92.524408100483768</v>
      </c>
      <c r="I278" t="str" cm="1">
        <f t="array" ref="I278">_xlfn.IFS(H278&gt;90,"Sangat Bagus",H278&gt;80,"Bagus",H278&gt;65,"Cukup Bagus",TRUE,"Kurang")</f>
        <v>Sangat Bagus</v>
      </c>
    </row>
    <row r="279" spans="1:9" x14ac:dyDescent="0.3">
      <c r="A279" s="5">
        <v>92.223653531521208</v>
      </c>
      <c r="B279" t="str">
        <f t="shared" si="4"/>
        <v>Bagus</v>
      </c>
      <c r="H279" s="5">
        <v>92.223653531521208</v>
      </c>
      <c r="I279" t="str" cm="1">
        <f t="array" ref="I279">_xlfn.IFS(H279&gt;90,"Sangat Bagus",H279&gt;80,"Bagus",H279&gt;65,"Cukup Bagus",TRUE,"Kurang")</f>
        <v>Sangat Bagus</v>
      </c>
    </row>
    <row r="280" spans="1:9" x14ac:dyDescent="0.3">
      <c r="A280" s="4">
        <v>93.28450029491151</v>
      </c>
      <c r="B280" t="str">
        <f t="shared" si="4"/>
        <v>Bagus</v>
      </c>
      <c r="H280" s="4">
        <v>93.28450029491151</v>
      </c>
      <c r="I280" t="str" cm="1">
        <f t="array" ref="I280">_xlfn.IFS(H280&gt;90,"Sangat Bagus",H280&gt;80,"Bagus",H280&gt;65,"Cukup Bagus",TRUE,"Kurang")</f>
        <v>Sangat Bagus</v>
      </c>
    </row>
    <row r="281" spans="1:9" x14ac:dyDescent="0.3">
      <c r="A281" s="5">
        <v>92.074024948478424</v>
      </c>
      <c r="B281" t="str">
        <f t="shared" si="4"/>
        <v>Bagus</v>
      </c>
      <c r="H281" s="5">
        <v>92.074024948478424</v>
      </c>
      <c r="I281" t="str" cm="1">
        <f t="array" ref="I281">_xlfn.IFS(H281&gt;90,"Sangat Bagus",H281&gt;80,"Bagus",H281&gt;65,"Cukup Bagus",TRUE,"Kurang")</f>
        <v>Sangat Bagus</v>
      </c>
    </row>
    <row r="282" spans="1:9" x14ac:dyDescent="0.3">
      <c r="A282" s="4">
        <v>86.997574707243018</v>
      </c>
      <c r="B282" t="str">
        <f t="shared" si="4"/>
        <v>Bagus</v>
      </c>
      <c r="H282" s="4">
        <v>86.997574707243018</v>
      </c>
      <c r="I282" t="str" cm="1">
        <f t="array" ref="I282">_xlfn.IFS(H282&gt;90,"Sangat Bagus",H282&gt;80,"Bagus",H282&gt;65,"Cukup Bagus",TRUE,"Kurang")</f>
        <v>Bagus</v>
      </c>
    </row>
    <row r="283" spans="1:9" x14ac:dyDescent="0.3">
      <c r="A283" s="5">
        <v>94.209487894320333</v>
      </c>
      <c r="B283" t="str">
        <f t="shared" si="4"/>
        <v>Bagus</v>
      </c>
      <c r="H283" s="5">
        <v>94.209487894320333</v>
      </c>
      <c r="I283" t="str" cm="1">
        <f t="array" ref="I283">_xlfn.IFS(H283&gt;90,"Sangat Bagus",H283&gt;80,"Bagus",H283&gt;65,"Cukup Bagus",TRUE,"Kurang")</f>
        <v>Sangat Bagus</v>
      </c>
    </row>
    <row r="284" spans="1:9" x14ac:dyDescent="0.3">
      <c r="A284" s="4">
        <v>93.158079705049033</v>
      </c>
      <c r="B284" t="str">
        <f t="shared" si="4"/>
        <v>Bagus</v>
      </c>
      <c r="H284" s="4">
        <v>93.158079705049033</v>
      </c>
      <c r="I284" t="str" cm="1">
        <f t="array" ref="I284">_xlfn.IFS(H284&gt;90,"Sangat Bagus",H284&gt;80,"Bagus",H284&gt;65,"Cukup Bagus",TRUE,"Kurang")</f>
        <v>Sangat Bagus</v>
      </c>
    </row>
    <row r="285" spans="1:9" x14ac:dyDescent="0.3">
      <c r="A285" s="5">
        <v>91.203045124165328</v>
      </c>
      <c r="B285" t="str">
        <f t="shared" si="4"/>
        <v>Bagus</v>
      </c>
      <c r="H285" s="5">
        <v>91.203045124165328</v>
      </c>
      <c r="I285" t="str" cm="1">
        <f t="array" ref="I285">_xlfn.IFS(H285&gt;90,"Sangat Bagus",H285&gt;80,"Bagus",H285&gt;65,"Cukup Bagus",TRUE,"Kurang")</f>
        <v>Sangat Bagus</v>
      </c>
    </row>
    <row r="286" spans="1:9" x14ac:dyDescent="0.3">
      <c r="A286" s="4">
        <v>92.354433533140039</v>
      </c>
      <c r="B286" t="str">
        <f t="shared" si="4"/>
        <v>Bagus</v>
      </c>
      <c r="H286" s="4">
        <v>92.354433533140039</v>
      </c>
      <c r="I286" t="str" cm="1">
        <f t="array" ref="I286">_xlfn.IFS(H286&gt;90,"Sangat Bagus",H286&gt;80,"Bagus",H286&gt;65,"Cukup Bagus",TRUE,"Kurang")</f>
        <v>Sangat Bagus</v>
      </c>
    </row>
    <row r="287" spans="1:9" x14ac:dyDescent="0.3">
      <c r="A287" s="5">
        <v>92.402115936105389</v>
      </c>
      <c r="B287" t="str">
        <f t="shared" si="4"/>
        <v>Bagus</v>
      </c>
      <c r="H287" s="5">
        <v>92.402115936105389</v>
      </c>
      <c r="I287" t="str" cm="1">
        <f t="array" ref="I287">_xlfn.IFS(H287&gt;90,"Sangat Bagus",H287&gt;80,"Bagus",H287&gt;65,"Cukup Bagus",TRUE,"Kurang")</f>
        <v>Sangat Bagus</v>
      </c>
    </row>
    <row r="288" spans="1:9" x14ac:dyDescent="0.3">
      <c r="A288" s="4">
        <v>92.663058405683003</v>
      </c>
      <c r="B288" t="str">
        <f t="shared" si="4"/>
        <v>Bagus</v>
      </c>
      <c r="H288" s="4">
        <v>92.663058405683003</v>
      </c>
      <c r="I288" t="str" cm="1">
        <f t="array" ref="I288">_xlfn.IFS(H288&gt;90,"Sangat Bagus",H288&gt;80,"Bagus",H288&gt;65,"Cukup Bagus",TRUE,"Kurang")</f>
        <v>Sangat Bagus</v>
      </c>
    </row>
    <row r="289" spans="1:9" x14ac:dyDescent="0.3">
      <c r="A289" s="5">
        <v>96.922538497932464</v>
      </c>
      <c r="B289" t="str">
        <f t="shared" si="4"/>
        <v>Bagus</v>
      </c>
      <c r="H289" s="5">
        <v>96.922538497932464</v>
      </c>
      <c r="I289" t="str" cm="1">
        <f t="array" ref="I289">_xlfn.IFS(H289&gt;90,"Sangat Bagus",H289&gt;80,"Bagus",H289&gt;65,"Cukup Bagus",TRUE,"Kurang")</f>
        <v>Sangat Bagus</v>
      </c>
    </row>
    <row r="290" spans="1:9" x14ac:dyDescent="0.3">
      <c r="A290" s="4">
        <v>91.342848863199578</v>
      </c>
      <c r="B290" t="str">
        <f t="shared" si="4"/>
        <v>Bagus</v>
      </c>
      <c r="H290" s="4">
        <v>91.342848863199578</v>
      </c>
      <c r="I290" t="str" cm="1">
        <f t="array" ref="I290">_xlfn.IFS(H290&gt;90,"Sangat Bagus",H290&gt;80,"Bagus",H290&gt;65,"Cukup Bagus",TRUE,"Kurang")</f>
        <v>Sangat Bagus</v>
      </c>
    </row>
    <row r="291" spans="1:9" x14ac:dyDescent="0.3">
      <c r="A291" s="5">
        <v>92.504196151653971</v>
      </c>
      <c r="B291" t="str">
        <f t="shared" si="4"/>
        <v>Bagus</v>
      </c>
      <c r="H291" s="5">
        <v>92.504196151653971</v>
      </c>
      <c r="I291" t="str" cm="1">
        <f t="array" ref="I291">_xlfn.IFS(H291&gt;90,"Sangat Bagus",H291&gt;80,"Bagus",H291&gt;65,"Cukup Bagus",TRUE,"Kurang")</f>
        <v>Sangat Bagus</v>
      </c>
    </row>
    <row r="292" spans="1:9" x14ac:dyDescent="0.3">
      <c r="A292" s="4">
        <v>95.505151619207282</v>
      </c>
      <c r="B292" t="str">
        <f t="shared" si="4"/>
        <v>Bagus</v>
      </c>
      <c r="H292" s="4">
        <v>95.505151619207282</v>
      </c>
      <c r="I292" t="str" cm="1">
        <f t="array" ref="I292">_xlfn.IFS(H292&gt;90,"Sangat Bagus",H292&gt;80,"Bagus",H292&gt;65,"Cukup Bagus",TRUE,"Kurang")</f>
        <v>Sangat Bagus</v>
      </c>
    </row>
    <row r="293" spans="1:9" x14ac:dyDescent="0.3">
      <c r="A293" s="5">
        <v>95.162543070130752</v>
      </c>
      <c r="B293" t="str">
        <f t="shared" si="4"/>
        <v>Bagus</v>
      </c>
      <c r="H293" s="5">
        <v>95.162543070130752</v>
      </c>
      <c r="I293" t="str" cm="1">
        <f t="array" ref="I293">_xlfn.IFS(H293&gt;90,"Sangat Bagus",H293&gt;80,"Bagus",H293&gt;65,"Cukup Bagus",TRUE,"Kurang")</f>
        <v>Sangat Bagus</v>
      </c>
    </row>
    <row r="294" spans="1:9" x14ac:dyDescent="0.3">
      <c r="A294" s="4">
        <v>95.435789331141066</v>
      </c>
      <c r="B294" t="str">
        <f t="shared" si="4"/>
        <v>Bagus</v>
      </c>
      <c r="H294" s="4">
        <v>95.435789331141066</v>
      </c>
      <c r="I294" t="str" cm="1">
        <f t="array" ref="I294">_xlfn.IFS(H294&gt;90,"Sangat Bagus",H294&gt;80,"Bagus",H294&gt;65,"Cukup Bagus",TRUE,"Kurang")</f>
        <v>Sangat Bagus</v>
      </c>
    </row>
    <row r="295" spans="1:9" x14ac:dyDescent="0.3">
      <c r="A295" s="5">
        <v>90.267595996821328</v>
      </c>
      <c r="B295" t="str">
        <f t="shared" si="4"/>
        <v>Bagus</v>
      </c>
      <c r="H295" s="5">
        <v>90.267595996821328</v>
      </c>
      <c r="I295" t="str" cm="1">
        <f t="array" ref="I295">_xlfn.IFS(H295&gt;90,"Sangat Bagus",H295&gt;80,"Bagus",H295&gt;65,"Cukup Bagus",TRUE,"Kurang")</f>
        <v>Sangat Bagus</v>
      </c>
    </row>
    <row r="296" spans="1:9" x14ac:dyDescent="0.3">
      <c r="A296" s="4">
        <v>98.007448190878492</v>
      </c>
      <c r="B296" t="str">
        <f t="shared" si="4"/>
        <v>Bagus</v>
      </c>
      <c r="H296" s="4">
        <v>98.007448190878492</v>
      </c>
      <c r="I296" t="str" cm="1">
        <f t="array" ref="I296">_xlfn.IFS(H296&gt;90,"Sangat Bagus",H296&gt;80,"Bagus",H296&gt;65,"Cukup Bagus",TRUE,"Kurang")</f>
        <v>Sangat Bagus</v>
      </c>
    </row>
    <row r="297" spans="1:9" x14ac:dyDescent="0.3">
      <c r="A297" s="5">
        <v>92.200102612790545</v>
      </c>
      <c r="B297" t="str">
        <f t="shared" si="4"/>
        <v>Bagus</v>
      </c>
      <c r="H297" s="5">
        <v>92.200102612790545</v>
      </c>
      <c r="I297" t="str" cm="1">
        <f t="array" ref="I297">_xlfn.IFS(H297&gt;90,"Sangat Bagus",H297&gt;80,"Bagus",H297&gt;65,"Cukup Bagus",TRUE,"Kurang")</f>
        <v>Sangat Bagus</v>
      </c>
    </row>
    <row r="298" spans="1:9" x14ac:dyDescent="0.3">
      <c r="A298" s="4">
        <v>97.600555534120588</v>
      </c>
      <c r="B298" t="str">
        <f t="shared" si="4"/>
        <v>Bagus</v>
      </c>
      <c r="H298" s="4">
        <v>97.600555534120588</v>
      </c>
      <c r="I298" t="str" cm="1">
        <f t="array" ref="I298">_xlfn.IFS(H298&gt;90,"Sangat Bagus",H298&gt;80,"Bagus",H298&gt;65,"Cukup Bagus",TRUE,"Kurang")</f>
        <v>Sangat Bagus</v>
      </c>
    </row>
    <row r="299" spans="1:9" x14ac:dyDescent="0.3">
      <c r="A299" s="5">
        <v>87.947291941907864</v>
      </c>
      <c r="B299" t="str">
        <f t="shared" si="4"/>
        <v>Bagus</v>
      </c>
      <c r="H299" s="5">
        <v>87.947291941907864</v>
      </c>
      <c r="I299" t="str" cm="1">
        <f t="array" ref="I299">_xlfn.IFS(H299&gt;90,"Sangat Bagus",H299&gt;80,"Bagus",H299&gt;65,"Cukup Bagus",TRUE,"Kurang")</f>
        <v>Bagus</v>
      </c>
    </row>
    <row r="300" spans="1:9" x14ac:dyDescent="0.3">
      <c r="A300" s="4">
        <v>92.062950759062716</v>
      </c>
      <c r="B300" t="str">
        <f t="shared" si="4"/>
        <v>Bagus</v>
      </c>
      <c r="H300" s="4">
        <v>92.062950759062716</v>
      </c>
      <c r="I300" t="str" cm="1">
        <f t="array" ref="I300">_xlfn.IFS(H300&gt;90,"Sangat Bagus",H300&gt;80,"Bagus",H300&gt;65,"Cukup Bagus",TRUE,"Kurang")</f>
        <v>Sangat Bagus</v>
      </c>
    </row>
    <row r="301" spans="1:9" x14ac:dyDescent="0.3">
      <c r="A301" s="6">
        <v>95.749743712907645</v>
      </c>
      <c r="B301" t="str">
        <f t="shared" si="4"/>
        <v>Bagus</v>
      </c>
      <c r="H301" s="6">
        <v>95.749743712907645</v>
      </c>
      <c r="I301" t="str" cm="1">
        <f t="array" ref="I301">_xlfn.IFS(H301&gt;90,"Sangat Bagus",H301&gt;80,"Bagus",H301&gt;65,"Cukup Bagus",TRUE,"Kurang")</f>
        <v>Sangat Bagus</v>
      </c>
    </row>
  </sheetData>
  <pageMargins left="0.7" right="0.7" top="0.75" bottom="0.75" header="0.3" footer="0.3"/>
  <drawing r:id="rId1"/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D25A1-DDFA-4E43-B4DD-EB79A90ADB84}">
  <dimension ref="A1:I301"/>
  <sheetViews>
    <sheetView zoomScale="85" workbookViewId="0">
      <selection activeCell="D24" sqref="D24"/>
    </sheetView>
  </sheetViews>
  <sheetFormatPr defaultRowHeight="14.4" x14ac:dyDescent="0.3"/>
  <cols>
    <col min="1" max="1" width="10.6640625" customWidth="1"/>
    <col min="2" max="2" width="20.44140625" customWidth="1"/>
    <col min="3" max="3" width="11.6640625" customWidth="1"/>
    <col min="4" max="4" width="18.5546875" customWidth="1"/>
    <col min="6" max="6" width="9.88671875" style="12" customWidth="1"/>
    <col min="7" max="7" width="20.44140625" style="12" customWidth="1"/>
    <col min="8" max="8" width="11.6640625" style="12" customWidth="1"/>
    <col min="9" max="9" width="18.5546875" style="12" customWidth="1"/>
  </cols>
  <sheetData>
    <row r="1" spans="1:9" ht="15" thickBot="1" x14ac:dyDescent="0.35">
      <c r="A1" t="s">
        <v>14</v>
      </c>
      <c r="B1" s="9" t="s">
        <v>2</v>
      </c>
      <c r="C1" s="9" t="s">
        <v>3</v>
      </c>
      <c r="D1" s="9" t="s">
        <v>4</v>
      </c>
      <c r="F1" s="12" t="s">
        <v>14</v>
      </c>
      <c r="G1" s="9" t="s">
        <v>2</v>
      </c>
      <c r="H1" s="9" t="s">
        <v>3</v>
      </c>
      <c r="I1" s="11" t="s">
        <v>4</v>
      </c>
    </row>
    <row r="2" spans="1:9" ht="15" thickTop="1" x14ac:dyDescent="0.3">
      <c r="A2" s="10" t="s">
        <v>8</v>
      </c>
      <c r="B2">
        <f>SUMIF(F2:F301,A2,G2:G301)</f>
        <v>8527.1217725908627</v>
      </c>
      <c r="C2">
        <f>SUMIF($F$2:F301,Table4[[#This Row],[Metode]],$H$2:H301)</f>
        <v>49989.133127477871</v>
      </c>
      <c r="D2">
        <f>SUMIF($F$2:F301,Table4[[#This Row],[Metode]],$I$2:I301)</f>
        <v>255.10675762099675</v>
      </c>
      <c r="F2" s="13" t="s">
        <v>8</v>
      </c>
      <c r="G2" s="13">
        <v>83.318573060343368</v>
      </c>
      <c r="H2" s="13">
        <v>497.85427343833157</v>
      </c>
      <c r="I2" s="14">
        <v>6.2220367808459702</v>
      </c>
    </row>
    <row r="3" spans="1:9" x14ac:dyDescent="0.3">
      <c r="A3" t="s">
        <v>9</v>
      </c>
      <c r="B3">
        <f>SUMIF(F3:F302,A3,G3:G302)</f>
        <v>8967.7359605989477</v>
      </c>
      <c r="C3">
        <f>SUMIF($F$2:F302,Table4[[#This Row],[Metode]],$H$2:H302)</f>
        <v>80031.755277625343</v>
      </c>
      <c r="D3">
        <f>SUMIF($F$2:F302,Table4[[#This Row],[Metode]],$I$2:I302)</f>
        <v>231.76206399246141</v>
      </c>
      <c r="F3" s="15" t="s">
        <v>8</v>
      </c>
      <c r="G3" s="15">
        <v>84.309467531550155</v>
      </c>
      <c r="H3" s="15">
        <v>497.74193309534678</v>
      </c>
      <c r="I3" s="16">
        <v>2.917959100758774</v>
      </c>
    </row>
    <row r="4" spans="1:9" x14ac:dyDescent="0.3">
      <c r="A4" t="s">
        <v>10</v>
      </c>
      <c r="B4">
        <f>SUMIF(F2:F303,A4,G2:G303)</f>
        <v>9236.1395330004034</v>
      </c>
      <c r="C4">
        <f>SUMIF($F$2:F303,Table4[[#This Row],[Metode]],$H$2:H303)</f>
        <v>99987.310012653412</v>
      </c>
      <c r="D4">
        <f>SUMIF($F$2:F303,Table4[[#This Row],[Metode]],$I$2:I303)</f>
        <v>178.07691432871866</v>
      </c>
      <c r="F4" s="13" t="s">
        <v>8</v>
      </c>
      <c r="G4" s="13">
        <v>89.676124942447373</v>
      </c>
      <c r="H4" s="13">
        <v>497.18438388917929</v>
      </c>
      <c r="I4" s="14">
        <v>2.900008973172242</v>
      </c>
    </row>
    <row r="5" spans="1:9" x14ac:dyDescent="0.3">
      <c r="F5" s="15" t="s">
        <v>8</v>
      </c>
      <c r="G5" s="15">
        <v>85.211525174273731</v>
      </c>
      <c r="H5" s="15">
        <v>496.84246016198381</v>
      </c>
      <c r="I5" s="16">
        <v>-1.5482028694532981</v>
      </c>
    </row>
    <row r="6" spans="1:9" ht="23.4" x14ac:dyDescent="0.3">
      <c r="A6" s="19" t="s">
        <v>18</v>
      </c>
      <c r="F6" s="13" t="s">
        <v>8</v>
      </c>
      <c r="G6" s="13">
        <v>85.387863205482844</v>
      </c>
      <c r="H6" s="13">
        <v>498.6885214004588</v>
      </c>
      <c r="I6" s="14">
        <v>5.3711560316646842</v>
      </c>
    </row>
    <row r="7" spans="1:9" x14ac:dyDescent="0.3">
      <c r="F7" s="15" t="s">
        <v>8</v>
      </c>
      <c r="G7" s="15">
        <v>90.145194960649846</v>
      </c>
      <c r="H7" s="15">
        <v>500.99353751887702</v>
      </c>
      <c r="I7" s="16">
        <v>2.3677974579246732</v>
      </c>
    </row>
    <row r="8" spans="1:9" x14ac:dyDescent="0.3">
      <c r="F8" s="13" t="s">
        <v>8</v>
      </c>
      <c r="G8" s="13">
        <v>86.382748617967607</v>
      </c>
      <c r="H8" s="13">
        <v>493.95736850623791</v>
      </c>
      <c r="I8" s="14">
        <v>1.029771223916774</v>
      </c>
    </row>
    <row r="9" spans="1:9" x14ac:dyDescent="0.3">
      <c r="F9" s="15" t="s">
        <v>8</v>
      </c>
      <c r="G9" s="15">
        <v>81.204816296180397</v>
      </c>
      <c r="H9" s="15">
        <v>500.63594130011688</v>
      </c>
      <c r="I9" s="16">
        <v>-1.2360773779749259</v>
      </c>
    </row>
    <row r="10" spans="1:9" x14ac:dyDescent="0.3">
      <c r="A10" t="s">
        <v>15</v>
      </c>
      <c r="B10" t="s">
        <v>16</v>
      </c>
      <c r="C10" t="s">
        <v>17</v>
      </c>
      <c r="F10" s="13" t="s">
        <v>8</v>
      </c>
      <c r="G10" s="13">
        <v>82.939441444319428</v>
      </c>
      <c r="H10" s="13">
        <v>503.71002513924969</v>
      </c>
      <c r="I10" s="14">
        <v>2.1007125100611832</v>
      </c>
    </row>
    <row r="11" spans="1:9" x14ac:dyDescent="0.3">
      <c r="A11" t="s">
        <v>14</v>
      </c>
      <c r="B11" t="s">
        <v>2</v>
      </c>
      <c r="C11" t="s">
        <v>3</v>
      </c>
      <c r="F11" s="15" t="s">
        <v>8</v>
      </c>
      <c r="G11" s="15">
        <v>83.663014089700127</v>
      </c>
      <c r="H11" s="15">
        <v>506.1127220547213</v>
      </c>
      <c r="I11" s="16">
        <v>0.45281659494987547</v>
      </c>
    </row>
    <row r="12" spans="1:9" x14ac:dyDescent="0.3">
      <c r="A12" t="s">
        <v>8</v>
      </c>
      <c r="B12">
        <f>AVERAGEIF($F$2:F301,Table6[[#This Row],[Column1]],$G$2:G301)</f>
        <v>85.271217725908627</v>
      </c>
      <c r="C12">
        <f>AVERAGEIF($F$2:F301,Table6[[#This Row],[Column1]],$H$2:H301)</f>
        <v>499.89133127477874</v>
      </c>
      <c r="F12" s="13" t="s">
        <v>8</v>
      </c>
      <c r="G12" s="13">
        <v>88.672245392318388</v>
      </c>
      <c r="H12" s="13">
        <v>503.90352797660182</v>
      </c>
      <c r="I12" s="14">
        <v>1.80890843901649</v>
      </c>
    </row>
    <row r="13" spans="1:9" x14ac:dyDescent="0.3">
      <c r="A13" t="s">
        <v>9</v>
      </c>
      <c r="B13">
        <f>AVERAGEIF($F$2:F301,Table6[[#This Row],[Column1]],$G$2:G301)</f>
        <v>89.67735960598948</v>
      </c>
      <c r="C13">
        <f>AVERAGEIF($F$2:F302,Table6[[#This Row],[Column1]],$H$2:H302)</f>
        <v>800.31755277625348</v>
      </c>
      <c r="F13" s="15" t="s">
        <v>8</v>
      </c>
      <c r="G13" s="15">
        <v>86.079441481172097</v>
      </c>
      <c r="H13" s="15">
        <v>502.27032429138791</v>
      </c>
      <c r="I13" s="16">
        <v>-0.65279996329079237</v>
      </c>
    </row>
    <row r="14" spans="1:9" x14ac:dyDescent="0.3">
      <c r="A14" t="s">
        <v>10</v>
      </c>
      <c r="B14">
        <f>AVERAGEIF($F$2:F301,Table6[[#This Row],[Column1]],$G$2:G303)</f>
        <v>92.361395330004029</v>
      </c>
      <c r="C14">
        <f>AVERAGEIF($F$2:F303,Table6[[#This Row],[Column1]],$H$2:H303)</f>
        <v>999.87310012653415</v>
      </c>
      <c r="F14" s="13" t="s">
        <v>8</v>
      </c>
      <c r="G14" s="13">
        <v>86.20231435178215</v>
      </c>
      <c r="H14" s="13">
        <v>494.81980880265701</v>
      </c>
      <c r="I14" s="14">
        <v>8.0627684488370939</v>
      </c>
    </row>
    <row r="15" spans="1:9" x14ac:dyDescent="0.3">
      <c r="F15" s="15" t="s">
        <v>8</v>
      </c>
      <c r="G15" s="15">
        <v>85.332048147835366</v>
      </c>
      <c r="H15" s="15">
        <v>498.19547987597957</v>
      </c>
      <c r="I15" s="16">
        <v>2.9519924183760931</v>
      </c>
    </row>
    <row r="16" spans="1:9" ht="23.4" x14ac:dyDescent="0.3">
      <c r="A16" s="19" t="s">
        <v>19</v>
      </c>
      <c r="F16" s="13" t="s">
        <v>8</v>
      </c>
      <c r="G16" s="13">
        <v>83.332476595737774</v>
      </c>
      <c r="H16" s="13">
        <v>498.94386063025217</v>
      </c>
      <c r="I16" s="14">
        <v>6.224835231817158</v>
      </c>
    </row>
    <row r="17" spans="1:9" x14ac:dyDescent="0.3">
      <c r="F17" s="15" t="s">
        <v>8</v>
      </c>
      <c r="G17" s="15">
        <v>90.360739410409238</v>
      </c>
      <c r="H17" s="15">
        <v>502.1105717082707</v>
      </c>
      <c r="I17" s="16">
        <v>-4.8050990107729561</v>
      </c>
    </row>
    <row r="18" spans="1:9" x14ac:dyDescent="0.3">
      <c r="F18" s="13" t="s">
        <v>8</v>
      </c>
      <c r="G18" s="13">
        <v>86.493551434687717</v>
      </c>
      <c r="H18" s="13">
        <v>499.68298599798868</v>
      </c>
      <c r="I18" s="14">
        <v>1.6404065100154881</v>
      </c>
    </row>
    <row r="19" spans="1:9" x14ac:dyDescent="0.3">
      <c r="F19" s="15" t="s">
        <v>8</v>
      </c>
      <c r="G19" s="15">
        <v>79.100148530111085</v>
      </c>
      <c r="H19" s="15">
        <v>496.22405411581951</v>
      </c>
      <c r="I19" s="16">
        <v>0.97355312522378634</v>
      </c>
    </row>
    <row r="20" spans="1:9" x14ac:dyDescent="0.3">
      <c r="F20" s="13" t="s">
        <v>8</v>
      </c>
      <c r="G20" s="13">
        <v>87.104067704691062</v>
      </c>
      <c r="H20" s="13">
        <v>505.05330712428241</v>
      </c>
      <c r="I20" s="14">
        <v>-0.66877853809773935</v>
      </c>
    </row>
    <row r="21" spans="1:9" ht="25.8" x14ac:dyDescent="0.5">
      <c r="A21" s="21" t="s">
        <v>24</v>
      </c>
      <c r="F21" s="15" t="s">
        <v>8</v>
      </c>
      <c r="G21" s="15">
        <v>83.581625776816196</v>
      </c>
      <c r="H21" s="15">
        <v>502.73417387538791</v>
      </c>
      <c r="I21" s="16">
        <v>7.6398274626722849</v>
      </c>
    </row>
    <row r="22" spans="1:9" x14ac:dyDescent="0.3">
      <c r="A22">
        <f>FORECAST(100,G2:G301,H2:H301)</f>
        <v>79.632232497428816</v>
      </c>
      <c r="F22" s="13" t="s">
        <v>8</v>
      </c>
      <c r="G22" s="13">
        <v>81.796528882039468</v>
      </c>
      <c r="H22" s="13">
        <v>500.7122908174731</v>
      </c>
      <c r="I22" s="14">
        <v>-1.24584575930847</v>
      </c>
    </row>
    <row r="23" spans="1:9" x14ac:dyDescent="0.3">
      <c r="F23" s="15" t="s">
        <v>8</v>
      </c>
      <c r="G23" s="15">
        <v>84.346075256025117</v>
      </c>
      <c r="H23" s="15">
        <v>503.65432583097743</v>
      </c>
      <c r="I23" s="16">
        <v>3.9551707812240759</v>
      </c>
    </row>
    <row r="24" spans="1:9" x14ac:dyDescent="0.3">
      <c r="A24" s="20" t="s">
        <v>21</v>
      </c>
      <c r="F24" s="13" t="s">
        <v>8</v>
      </c>
      <c r="G24" s="13">
        <v>81.921986655078285</v>
      </c>
      <c r="H24" s="13">
        <v>495.98367713829509</v>
      </c>
      <c r="I24" s="14">
        <v>5.5393088567390762</v>
      </c>
    </row>
    <row r="25" spans="1:9" x14ac:dyDescent="0.3">
      <c r="A25" s="20"/>
      <c r="F25" s="15" t="s">
        <v>8</v>
      </c>
      <c r="G25" s="15">
        <v>82.813326312126577</v>
      </c>
      <c r="H25" s="15">
        <v>501.98246089336942</v>
      </c>
      <c r="I25" s="16">
        <v>3.5345705652540689</v>
      </c>
    </row>
    <row r="26" spans="1:9" x14ac:dyDescent="0.3">
      <c r="A26" s="20" t="s">
        <v>22</v>
      </c>
      <c r="F26" s="13" t="s">
        <v>8</v>
      </c>
      <c r="G26" s="13">
        <v>83.124882196452234</v>
      </c>
      <c r="H26" s="13">
        <v>498.43126287105969</v>
      </c>
      <c r="I26" s="14">
        <v>0.37423356751345338</v>
      </c>
    </row>
    <row r="27" spans="1:9" x14ac:dyDescent="0.3">
      <c r="A27" s="20"/>
      <c r="F27" s="15" t="s">
        <v>8</v>
      </c>
      <c r="G27" s="15">
        <v>79.939920067772761</v>
      </c>
      <c r="H27" s="15">
        <v>502.05123656555207</v>
      </c>
      <c r="I27" s="16">
        <v>5.8234974201725009</v>
      </c>
    </row>
    <row r="28" spans="1:9" x14ac:dyDescent="0.3">
      <c r="A28" s="20" t="s">
        <v>23</v>
      </c>
      <c r="F28" s="13" t="s">
        <v>8</v>
      </c>
      <c r="G28" s="13">
        <v>87.513361133483571</v>
      </c>
      <c r="H28" s="13">
        <v>499.81753413601979</v>
      </c>
      <c r="I28" s="14">
        <v>3.5117642455225142</v>
      </c>
    </row>
    <row r="29" spans="1:9" x14ac:dyDescent="0.3">
      <c r="F29" s="15" t="s">
        <v>8</v>
      </c>
      <c r="G29" s="15">
        <v>85.46011935350954</v>
      </c>
      <c r="H29" s="15">
        <v>501.89888213909433</v>
      </c>
      <c r="I29" s="16">
        <v>-0.1904937191461302</v>
      </c>
    </row>
    <row r="30" spans="1:9" x14ac:dyDescent="0.3">
      <c r="A30" t="s">
        <v>20</v>
      </c>
      <c r="F30" s="13" t="s">
        <v>8</v>
      </c>
      <c r="G30" s="13">
        <v>81.58558918896415</v>
      </c>
      <c r="H30" s="13">
        <v>504.00655284517819</v>
      </c>
      <c r="I30" s="14">
        <v>-1.164147142806184</v>
      </c>
    </row>
    <row r="31" spans="1:9" x14ac:dyDescent="0.3">
      <c r="F31" s="15" t="s">
        <v>8</v>
      </c>
      <c r="G31" s="15">
        <v>88.761444763209781</v>
      </c>
      <c r="H31" s="15">
        <v>500.02187027095073</v>
      </c>
      <c r="I31" s="16">
        <v>9.2601523034794404</v>
      </c>
    </row>
    <row r="32" spans="1:9" x14ac:dyDescent="0.3">
      <c r="F32" s="13" t="s">
        <v>8</v>
      </c>
      <c r="G32" s="13">
        <v>86.279392664430446</v>
      </c>
      <c r="H32" s="13">
        <v>503.05267591085629</v>
      </c>
      <c r="I32" s="14">
        <v>0.96449056374468878</v>
      </c>
    </row>
    <row r="33" spans="6:9" x14ac:dyDescent="0.3">
      <c r="F33" s="15" t="s">
        <v>8</v>
      </c>
      <c r="G33" s="15">
        <v>84.114785551023189</v>
      </c>
      <c r="H33" s="15">
        <v>496.43469789455611</v>
      </c>
      <c r="I33" s="16">
        <v>-2.5667149617541209</v>
      </c>
    </row>
    <row r="34" spans="6:9" x14ac:dyDescent="0.3">
      <c r="F34" s="13" t="s">
        <v>8</v>
      </c>
      <c r="G34" s="13">
        <v>87.685376983135072</v>
      </c>
      <c r="H34" s="13">
        <v>497.83518667869203</v>
      </c>
      <c r="I34" s="14">
        <v>4.5997780882609556</v>
      </c>
    </row>
    <row r="35" spans="6:9" x14ac:dyDescent="0.3">
      <c r="F35" s="15" t="s">
        <v>8</v>
      </c>
      <c r="G35" s="15">
        <v>87.634400462599132</v>
      </c>
      <c r="H35" s="15">
        <v>504.55765313416452</v>
      </c>
      <c r="I35" s="16">
        <v>3.930690768182687</v>
      </c>
    </row>
    <row r="36" spans="6:9" x14ac:dyDescent="0.3">
      <c r="F36" s="13" t="s">
        <v>8</v>
      </c>
      <c r="G36" s="13">
        <v>87.464743244912455</v>
      </c>
      <c r="H36" s="13">
        <v>501.13216391907179</v>
      </c>
      <c r="I36" s="14">
        <v>-1.0615030071677951</v>
      </c>
    </row>
    <row r="37" spans="6:9" x14ac:dyDescent="0.3">
      <c r="F37" s="15" t="s">
        <v>8</v>
      </c>
      <c r="G37" s="15">
        <v>87.065920762300266</v>
      </c>
      <c r="H37" s="15">
        <v>493.84333153869881</v>
      </c>
      <c r="I37" s="16">
        <v>-2.8288692407458509</v>
      </c>
    </row>
    <row r="38" spans="6:9" x14ac:dyDescent="0.3">
      <c r="F38" s="13" t="s">
        <v>8</v>
      </c>
      <c r="G38" s="13">
        <v>86.661752960612773</v>
      </c>
      <c r="H38" s="13">
        <v>495.90788764375287</v>
      </c>
      <c r="I38" s="14">
        <v>2.6510924485241829</v>
      </c>
    </row>
    <row r="39" spans="6:9" x14ac:dyDescent="0.3">
      <c r="F39" s="15" t="s">
        <v>8</v>
      </c>
      <c r="G39" s="15">
        <v>84.814264868269831</v>
      </c>
      <c r="H39" s="15">
        <v>499.39765695323263</v>
      </c>
      <c r="I39" s="16">
        <v>6.4181888751282674</v>
      </c>
    </row>
    <row r="40" spans="6:9" x14ac:dyDescent="0.3">
      <c r="F40" s="13" t="s">
        <v>8</v>
      </c>
      <c r="G40" s="13">
        <v>84.082112008780243</v>
      </c>
      <c r="H40" s="13">
        <v>502.59733821300352</v>
      </c>
      <c r="I40" s="14">
        <v>4.9083721055464462</v>
      </c>
    </row>
    <row r="41" spans="6:9" x14ac:dyDescent="0.3">
      <c r="F41" s="15" t="s">
        <v>8</v>
      </c>
      <c r="G41" s="15">
        <v>83.858586996962856</v>
      </c>
      <c r="H41" s="15">
        <v>499.69435023285428</v>
      </c>
      <c r="I41" s="16">
        <v>1.5211877275140679</v>
      </c>
    </row>
    <row r="42" spans="6:9" x14ac:dyDescent="0.3">
      <c r="F42" s="13" t="s">
        <v>8</v>
      </c>
      <c r="G42" s="13">
        <v>82.915879063238464</v>
      </c>
      <c r="H42" s="13">
        <v>501.87256241606201</v>
      </c>
      <c r="I42" s="14">
        <v>0.49743530524686719</v>
      </c>
    </row>
    <row r="43" spans="6:9" x14ac:dyDescent="0.3">
      <c r="F43" s="15" t="s">
        <v>8</v>
      </c>
      <c r="G43" s="15">
        <v>84.376248165941206</v>
      </c>
      <c r="H43" s="15">
        <v>502.8770161333635</v>
      </c>
      <c r="I43" s="16">
        <v>3.813200270251635</v>
      </c>
    </row>
    <row r="44" spans="6:9" x14ac:dyDescent="0.3">
      <c r="F44" s="13" t="s">
        <v>8</v>
      </c>
      <c r="G44" s="13">
        <v>81.203810945295203</v>
      </c>
      <c r="H44" s="13">
        <v>505.01316448658878</v>
      </c>
      <c r="I44" s="14">
        <v>3.472060041648473</v>
      </c>
    </row>
    <row r="45" spans="6:9" x14ac:dyDescent="0.3">
      <c r="F45" s="15" t="s">
        <v>8</v>
      </c>
      <c r="G45" s="15">
        <v>91.506867896015535</v>
      </c>
      <c r="H45" s="15">
        <v>500.1680501998249</v>
      </c>
      <c r="I45" s="16">
        <v>4.8891352400781836</v>
      </c>
    </row>
    <row r="46" spans="6:9" x14ac:dyDescent="0.3">
      <c r="F46" s="13" t="s">
        <v>8</v>
      </c>
      <c r="G46" s="13">
        <v>88.623885994914971</v>
      </c>
      <c r="H46" s="13">
        <v>499.84405428145732</v>
      </c>
      <c r="I46" s="14">
        <v>1.812606149133311</v>
      </c>
    </row>
    <row r="47" spans="6:9" x14ac:dyDescent="0.3">
      <c r="F47" s="15" t="s">
        <v>8</v>
      </c>
      <c r="G47" s="15">
        <v>81.630674250389959</v>
      </c>
      <c r="H47" s="15">
        <v>494.7402879225732</v>
      </c>
      <c r="I47" s="16">
        <v>5.6980621596092984</v>
      </c>
    </row>
    <row r="48" spans="6:9" x14ac:dyDescent="0.3">
      <c r="F48" s="13" t="s">
        <v>8</v>
      </c>
      <c r="G48" s="13">
        <v>83.791345494102771</v>
      </c>
      <c r="H48" s="13">
        <v>500.29798278226349</v>
      </c>
      <c r="I48" s="14">
        <v>0.50756541799125454</v>
      </c>
    </row>
    <row r="49" spans="6:9" x14ac:dyDescent="0.3">
      <c r="F49" s="15" t="s">
        <v>8</v>
      </c>
      <c r="G49" s="15">
        <v>83.600033939130341</v>
      </c>
      <c r="H49" s="15">
        <v>498.28444982631328</v>
      </c>
      <c r="I49" s="16">
        <v>2.0083658996401099</v>
      </c>
    </row>
    <row r="50" spans="6:9" x14ac:dyDescent="0.3">
      <c r="F50" s="13" t="s">
        <v>8</v>
      </c>
      <c r="G50" s="13">
        <v>87.339895355008949</v>
      </c>
      <c r="H50" s="13">
        <v>497.07797125158771</v>
      </c>
      <c r="I50" s="14">
        <v>5.2224435711777133</v>
      </c>
    </row>
    <row r="51" spans="6:9" x14ac:dyDescent="0.3">
      <c r="F51" s="15" t="s">
        <v>8</v>
      </c>
      <c r="G51" s="15">
        <v>84.749892800584519</v>
      </c>
      <c r="H51" s="15">
        <v>499.46028130685738</v>
      </c>
      <c r="I51" s="16">
        <v>5.9699148258813377</v>
      </c>
    </row>
    <row r="52" spans="6:9" x14ac:dyDescent="0.3">
      <c r="F52" s="13" t="s">
        <v>8</v>
      </c>
      <c r="G52" s="13">
        <v>85.759955541984269</v>
      </c>
      <c r="H52" s="13">
        <v>503.04482951823098</v>
      </c>
      <c r="I52" s="14">
        <v>-2.815514104360139</v>
      </c>
    </row>
    <row r="53" spans="6:9" x14ac:dyDescent="0.3">
      <c r="F53" s="15" t="s">
        <v>8</v>
      </c>
      <c r="G53" s="15">
        <v>84.914359733953887</v>
      </c>
      <c r="H53" s="15">
        <v>494.02175453393431</v>
      </c>
      <c r="I53" s="16">
        <v>3.3215712210484591</v>
      </c>
    </row>
    <row r="54" spans="6:9" x14ac:dyDescent="0.3">
      <c r="F54" s="13" t="s">
        <v>8</v>
      </c>
      <c r="G54" s="13">
        <v>84.871388628126056</v>
      </c>
      <c r="H54" s="13">
        <v>498.71816213838372</v>
      </c>
      <c r="I54" s="14">
        <v>4.8263370352038901</v>
      </c>
    </row>
    <row r="55" spans="6:9" x14ac:dyDescent="0.3">
      <c r="F55" s="15" t="s">
        <v>8</v>
      </c>
      <c r="G55" s="15">
        <v>89.105806852043372</v>
      </c>
      <c r="H55" s="15">
        <v>500.34991185074807</v>
      </c>
      <c r="I55" s="16">
        <v>-1.352472940471894</v>
      </c>
    </row>
    <row r="56" spans="6:9" x14ac:dyDescent="0.3">
      <c r="F56" s="13" t="s">
        <v>8</v>
      </c>
      <c r="G56" s="13">
        <v>84.322687043022199</v>
      </c>
      <c r="H56" s="13">
        <v>497.32037728983522</v>
      </c>
      <c r="I56" s="14">
        <v>4.4418767996256516</v>
      </c>
    </row>
    <row r="57" spans="6:9" x14ac:dyDescent="0.3">
      <c r="F57" s="15" t="s">
        <v>8</v>
      </c>
      <c r="G57" s="15">
        <v>89.549411813288614</v>
      </c>
      <c r="H57" s="15">
        <v>501.00170882749768</v>
      </c>
      <c r="I57" s="16">
        <v>0.51547718880960902</v>
      </c>
    </row>
    <row r="58" spans="6:9" x14ac:dyDescent="0.3">
      <c r="F58" s="13" t="s">
        <v>8</v>
      </c>
      <c r="G58" s="13">
        <v>80.353741587309344</v>
      </c>
      <c r="H58" s="13">
        <v>501.23428976184721</v>
      </c>
      <c r="I58" s="14">
        <v>6.0607590364932884</v>
      </c>
    </row>
    <row r="59" spans="6:9" x14ac:dyDescent="0.3">
      <c r="F59" s="15" t="s">
        <v>8</v>
      </c>
      <c r="G59" s="15">
        <v>86.753841248908202</v>
      </c>
      <c r="H59" s="15">
        <v>499.900891522172</v>
      </c>
      <c r="I59" s="16">
        <v>4.6154460963079229</v>
      </c>
    </row>
    <row r="60" spans="6:9" x14ac:dyDescent="0.3">
      <c r="F60" s="13" t="s">
        <v>8</v>
      </c>
      <c r="G60" s="13">
        <v>85.371562731533842</v>
      </c>
      <c r="H60" s="13">
        <v>492.60230541871988</v>
      </c>
      <c r="I60" s="14">
        <v>5.3071568849868278</v>
      </c>
    </row>
    <row r="61" spans="6:9" x14ac:dyDescent="0.3">
      <c r="F61" s="15" t="s">
        <v>8</v>
      </c>
      <c r="G61" s="15">
        <v>85.647824706231916</v>
      </c>
      <c r="H61" s="15">
        <v>507.71437443759987</v>
      </c>
      <c r="I61" s="16">
        <v>3.362157987861103</v>
      </c>
    </row>
    <row r="62" spans="6:9" x14ac:dyDescent="0.3">
      <c r="F62" s="13" t="s">
        <v>8</v>
      </c>
      <c r="G62" s="13">
        <v>86.13891844827964</v>
      </c>
      <c r="H62" s="13">
        <v>499.38410222759541</v>
      </c>
      <c r="I62" s="14">
        <v>5.5909453024732603</v>
      </c>
    </row>
    <row r="63" spans="6:9" x14ac:dyDescent="0.3">
      <c r="F63" s="15" t="s">
        <v>8</v>
      </c>
      <c r="G63" s="15">
        <v>83.493029640672091</v>
      </c>
      <c r="H63" s="15">
        <v>501.953579844763</v>
      </c>
      <c r="I63" s="16">
        <v>7.1415435849436131</v>
      </c>
    </row>
    <row r="64" spans="6:9" x14ac:dyDescent="0.3">
      <c r="F64" s="13" t="s">
        <v>8</v>
      </c>
      <c r="G64" s="13">
        <v>84.000377848991747</v>
      </c>
      <c r="H64" s="13">
        <v>500.82129947310972</v>
      </c>
      <c r="I64" s="14">
        <v>8.8987440463669003</v>
      </c>
    </row>
    <row r="65" spans="6:9" x14ac:dyDescent="0.3">
      <c r="F65" s="15" t="s">
        <v>8</v>
      </c>
      <c r="G65" s="15">
        <v>81.944273850678741</v>
      </c>
      <c r="H65" s="15">
        <v>503.07401970445511</v>
      </c>
      <c r="I65" s="16">
        <v>2.914814835752805</v>
      </c>
    </row>
    <row r="66" spans="6:9" x14ac:dyDescent="0.3">
      <c r="F66" s="13" t="s">
        <v>8</v>
      </c>
      <c r="G66" s="13">
        <v>81.784626320573267</v>
      </c>
      <c r="H66" s="13">
        <v>502.45297833912218</v>
      </c>
      <c r="I66" s="14">
        <v>-3.7471532709972148</v>
      </c>
    </row>
    <row r="67" spans="6:9" x14ac:dyDescent="0.3">
      <c r="F67" s="15" t="s">
        <v>8</v>
      </c>
      <c r="G67" s="15">
        <v>85.910585924212768</v>
      </c>
      <c r="H67" s="15">
        <v>499.37062048631452</v>
      </c>
      <c r="I67" s="16">
        <v>3.0945780137819749</v>
      </c>
    </row>
    <row r="68" spans="6:9" x14ac:dyDescent="0.3">
      <c r="F68" s="13" t="s">
        <v>8</v>
      </c>
      <c r="G68" s="13">
        <v>86.344629335888285</v>
      </c>
      <c r="H68" s="13">
        <v>501.13450331662551</v>
      </c>
      <c r="I68" s="14">
        <v>3.6166836253499239</v>
      </c>
    </row>
    <row r="69" spans="6:9" x14ac:dyDescent="0.3">
      <c r="F69" s="15" t="s">
        <v>8</v>
      </c>
      <c r="G69" s="15">
        <v>85.159012680191509</v>
      </c>
      <c r="H69" s="15">
        <v>497.16377350662827</v>
      </c>
      <c r="I69" s="16">
        <v>2.533963958566805</v>
      </c>
    </row>
    <row r="70" spans="6:9" x14ac:dyDescent="0.3">
      <c r="F70" s="13" t="s">
        <v>8</v>
      </c>
      <c r="G70" s="13">
        <v>87.766802403639218</v>
      </c>
      <c r="H70" s="13">
        <v>502.57076903269802</v>
      </c>
      <c r="I70" s="14">
        <v>4.7048658623312232</v>
      </c>
    </row>
    <row r="71" spans="6:9" x14ac:dyDescent="0.3">
      <c r="F71" s="15" t="s">
        <v>8</v>
      </c>
      <c r="G71" s="15">
        <v>91.150254056881437</v>
      </c>
      <c r="H71" s="15">
        <v>498.61688498334689</v>
      </c>
      <c r="I71" s="16">
        <v>6.0320338935427946</v>
      </c>
    </row>
    <row r="72" spans="6:9" x14ac:dyDescent="0.3">
      <c r="F72" s="13" t="s">
        <v>8</v>
      </c>
      <c r="G72" s="13">
        <v>83.526906501830396</v>
      </c>
      <c r="H72" s="13">
        <v>507.25032006136462</v>
      </c>
      <c r="I72" s="14">
        <v>1.446052709496535</v>
      </c>
    </row>
    <row r="73" spans="6:9" x14ac:dyDescent="0.3">
      <c r="F73" s="15" t="s">
        <v>8</v>
      </c>
      <c r="G73" s="15">
        <v>78.072493373077563</v>
      </c>
      <c r="H73" s="15">
        <v>495.04685331293541</v>
      </c>
      <c r="I73" s="16">
        <v>2.117714018531669</v>
      </c>
    </row>
    <row r="74" spans="6:9" x14ac:dyDescent="0.3">
      <c r="F74" s="13" t="s">
        <v>8</v>
      </c>
      <c r="G74" s="13">
        <v>88.017215573386764</v>
      </c>
      <c r="H74" s="13">
        <v>498.60803827110198</v>
      </c>
      <c r="I74" s="14">
        <v>4.1935266264010167</v>
      </c>
    </row>
    <row r="75" spans="6:9" x14ac:dyDescent="0.3">
      <c r="F75" s="15" t="s">
        <v>8</v>
      </c>
      <c r="G75" s="15">
        <v>82.87239771225282</v>
      </c>
      <c r="H75" s="15">
        <v>502.4761395882777</v>
      </c>
      <c r="I75" s="16">
        <v>1.349328775532586</v>
      </c>
    </row>
    <row r="76" spans="6:9" x14ac:dyDescent="0.3">
      <c r="F76" s="13" t="s">
        <v>8</v>
      </c>
      <c r="G76" s="13">
        <v>82.935974150597929</v>
      </c>
      <c r="H76" s="13">
        <v>501.53039764063601</v>
      </c>
      <c r="I76" s="14">
        <v>3.2738021504647059</v>
      </c>
    </row>
    <row r="77" spans="6:9" x14ac:dyDescent="0.3">
      <c r="F77" s="15" t="s">
        <v>8</v>
      </c>
      <c r="G77" s="15">
        <v>88.076714109090091</v>
      </c>
      <c r="H77" s="15">
        <v>498.23155688445502</v>
      </c>
      <c r="I77" s="16">
        <v>-2.885122796655907</v>
      </c>
    </row>
    <row r="78" spans="6:9" x14ac:dyDescent="0.3">
      <c r="F78" s="13" t="s">
        <v>8</v>
      </c>
      <c r="G78" s="13">
        <v>84.145680978846968</v>
      </c>
      <c r="H78" s="13">
        <v>497.00965777337751</v>
      </c>
      <c r="I78" s="14">
        <v>-0.35969916419287218</v>
      </c>
    </row>
    <row r="79" spans="6:9" x14ac:dyDescent="0.3">
      <c r="F79" s="15" t="s">
        <v>8</v>
      </c>
      <c r="G79" s="15">
        <v>81.337846863236393</v>
      </c>
      <c r="H79" s="15">
        <v>500.43342711413209</v>
      </c>
      <c r="I79" s="16">
        <v>-0.98326642681237564</v>
      </c>
    </row>
    <row r="80" spans="6:9" x14ac:dyDescent="0.3">
      <c r="F80" s="13" t="s">
        <v>8</v>
      </c>
      <c r="G80" s="13">
        <v>85.543910439247455</v>
      </c>
      <c r="H80" s="13">
        <v>499.95707776049932</v>
      </c>
      <c r="I80" s="14">
        <v>0.43912890981827513</v>
      </c>
    </row>
    <row r="81" spans="6:9" x14ac:dyDescent="0.3">
      <c r="F81" s="15" t="s">
        <v>8</v>
      </c>
      <c r="G81" s="15">
        <v>84.583325912682866</v>
      </c>
      <c r="H81" s="15">
        <v>494.62915628820781</v>
      </c>
      <c r="I81" s="16">
        <v>0.92008641620800269</v>
      </c>
    </row>
    <row r="82" spans="6:9" x14ac:dyDescent="0.3">
      <c r="F82" s="13" t="s">
        <v>8</v>
      </c>
      <c r="G82" s="13">
        <v>85.017292557699662</v>
      </c>
      <c r="H82" s="13">
        <v>500.10365320140153</v>
      </c>
      <c r="I82" s="14">
        <v>4.1469154276391098</v>
      </c>
    </row>
    <row r="83" spans="6:9" x14ac:dyDescent="0.3">
      <c r="F83" s="15" t="s">
        <v>8</v>
      </c>
      <c r="G83" s="15">
        <v>86.155841203378998</v>
      </c>
      <c r="H83" s="15">
        <v>500.57069094707742</v>
      </c>
      <c r="I83" s="16">
        <v>5.9463390075679214</v>
      </c>
    </row>
    <row r="84" spans="6:9" x14ac:dyDescent="0.3">
      <c r="F84" s="13" t="s">
        <v>8</v>
      </c>
      <c r="G84" s="13">
        <v>83.888019904622766</v>
      </c>
      <c r="H84" s="13">
        <v>500.52417919094552</v>
      </c>
      <c r="I84" s="14">
        <v>0.81784941273739342</v>
      </c>
    </row>
    <row r="85" spans="6:9" x14ac:dyDescent="0.3">
      <c r="F85" s="15" t="s">
        <v>8</v>
      </c>
      <c r="G85" s="15">
        <v>86.933129645556505</v>
      </c>
      <c r="H85" s="15">
        <v>496.83494887219189</v>
      </c>
      <c r="I85" s="16">
        <v>9.4830528659857194E-3</v>
      </c>
    </row>
    <row r="86" spans="6:9" x14ac:dyDescent="0.3">
      <c r="F86" s="13" t="s">
        <v>8</v>
      </c>
      <c r="G86" s="13">
        <v>84.338540314543749</v>
      </c>
      <c r="H86" s="13">
        <v>501.42839983490791</v>
      </c>
      <c r="I86" s="14">
        <v>-0.1250665769685293</v>
      </c>
    </row>
    <row r="87" spans="6:9" x14ac:dyDescent="0.3">
      <c r="F87" s="15" t="s">
        <v>8</v>
      </c>
      <c r="G87" s="15">
        <v>85.995345891747093</v>
      </c>
      <c r="H87" s="15">
        <v>504.13571041087772</v>
      </c>
      <c r="I87" s="16">
        <v>1.7562338209089789</v>
      </c>
    </row>
    <row r="88" spans="6:9" x14ac:dyDescent="0.3">
      <c r="F88" s="13" t="s">
        <v>8</v>
      </c>
      <c r="G88" s="13">
        <v>88.290517039448048</v>
      </c>
      <c r="H88" s="13">
        <v>501.36870920953942</v>
      </c>
      <c r="I88" s="14">
        <v>2.2829127955423081</v>
      </c>
    </row>
    <row r="89" spans="6:9" x14ac:dyDescent="0.3">
      <c r="F89" s="15" t="s">
        <v>8</v>
      </c>
      <c r="G89" s="15">
        <v>86.30554447250141</v>
      </c>
      <c r="H89" s="15">
        <v>496.59323458887701</v>
      </c>
      <c r="I89" s="16">
        <v>4.4508526015148089</v>
      </c>
    </row>
    <row r="90" spans="6:9" x14ac:dyDescent="0.3">
      <c r="F90" s="13" t="s">
        <v>8</v>
      </c>
      <c r="G90" s="13">
        <v>84.022205243406319</v>
      </c>
      <c r="H90" s="13">
        <v>498.69306359092428</v>
      </c>
      <c r="I90" s="14">
        <v>2.03602547349483</v>
      </c>
    </row>
    <row r="91" spans="6:9" x14ac:dyDescent="0.3">
      <c r="F91" s="15" t="s">
        <v>8</v>
      </c>
      <c r="G91" s="15">
        <v>88.446422855353276</v>
      </c>
      <c r="H91" s="15">
        <v>501.03831085866079</v>
      </c>
      <c r="I91" s="16">
        <v>-3.2354678065800679</v>
      </c>
    </row>
    <row r="92" spans="6:9" x14ac:dyDescent="0.3">
      <c r="F92" s="13" t="s">
        <v>8</v>
      </c>
      <c r="G92" s="13">
        <v>87.980511567886353</v>
      </c>
      <c r="H92" s="13">
        <v>498.05886310604518</v>
      </c>
      <c r="I92" s="14">
        <v>2.7256971733495852</v>
      </c>
    </row>
    <row r="93" spans="6:9" x14ac:dyDescent="0.3">
      <c r="F93" s="15" t="s">
        <v>8</v>
      </c>
      <c r="G93" s="15">
        <v>86.645190878524204</v>
      </c>
      <c r="H93" s="15">
        <v>493.52706099495418</v>
      </c>
      <c r="I93" s="16">
        <v>6.5615604319546694</v>
      </c>
    </row>
    <row r="94" spans="6:9" x14ac:dyDescent="0.3">
      <c r="F94" s="13" t="s">
        <v>8</v>
      </c>
      <c r="G94" s="13">
        <v>85.71619520533433</v>
      </c>
      <c r="H94" s="13">
        <v>502.65275246008463</v>
      </c>
      <c r="I94" s="14">
        <v>6.5748038055309754</v>
      </c>
    </row>
    <row r="95" spans="6:9" x14ac:dyDescent="0.3">
      <c r="F95" s="15" t="s">
        <v>8</v>
      </c>
      <c r="G95" s="15">
        <v>83.116281771881887</v>
      </c>
      <c r="H95" s="15">
        <v>497.51156716512651</v>
      </c>
      <c r="I95" s="16">
        <v>0.63311034566631097</v>
      </c>
    </row>
    <row r="96" spans="6:9" x14ac:dyDescent="0.3">
      <c r="F96" s="13" t="s">
        <v>8</v>
      </c>
      <c r="G96" s="13">
        <v>89.081957345590027</v>
      </c>
      <c r="H96" s="13">
        <v>498.27931918769508</v>
      </c>
      <c r="I96" s="14">
        <v>-1.6433296309127119</v>
      </c>
    </row>
    <row r="97" spans="6:9" x14ac:dyDescent="0.3">
      <c r="F97" s="15" t="s">
        <v>8</v>
      </c>
      <c r="G97" s="15">
        <v>83.199221238558621</v>
      </c>
      <c r="H97" s="15">
        <v>504.51170182701361</v>
      </c>
      <c r="I97" s="16">
        <v>10.374181475595821</v>
      </c>
    </row>
    <row r="98" spans="6:9" x14ac:dyDescent="0.3">
      <c r="F98" s="13" t="s">
        <v>8</v>
      </c>
      <c r="G98" s="13">
        <v>91.561998979049733</v>
      </c>
      <c r="H98" s="13">
        <v>497.67756521118378</v>
      </c>
      <c r="I98" s="14">
        <v>2.5127341725617418</v>
      </c>
    </row>
    <row r="99" spans="6:9" x14ac:dyDescent="0.3">
      <c r="F99" s="15" t="s">
        <v>8</v>
      </c>
      <c r="G99" s="15">
        <v>89.597831878555567</v>
      </c>
      <c r="H99" s="15">
        <v>502.5371946205679</v>
      </c>
      <c r="I99" s="16">
        <v>2.7076462496831479</v>
      </c>
    </row>
    <row r="100" spans="6:9" x14ac:dyDescent="0.3">
      <c r="F100" s="13" t="s">
        <v>8</v>
      </c>
      <c r="G100" s="13">
        <v>84.292898922698569</v>
      </c>
      <c r="H100" s="13">
        <v>496.21795136354359</v>
      </c>
      <c r="I100" s="14">
        <v>4.2617225660944413</v>
      </c>
    </row>
    <row r="101" spans="6:9" x14ac:dyDescent="0.3">
      <c r="F101" s="15" t="s">
        <v>8</v>
      </c>
      <c r="G101" s="15">
        <v>81.920737299079661</v>
      </c>
      <c r="H101" s="15">
        <v>498.93637279077808</v>
      </c>
      <c r="I101" s="16">
        <v>-1.842118369857358</v>
      </c>
    </row>
    <row r="102" spans="6:9" x14ac:dyDescent="0.3">
      <c r="F102" s="13" t="s">
        <v>9</v>
      </c>
      <c r="G102" s="13">
        <v>87.868780308902103</v>
      </c>
      <c r="H102" s="13">
        <v>799.7793319425906</v>
      </c>
      <c r="I102" s="14">
        <v>-0.1846573335738628</v>
      </c>
    </row>
    <row r="103" spans="6:9" x14ac:dyDescent="0.3">
      <c r="F103" s="15" t="s">
        <v>9</v>
      </c>
      <c r="G103" s="15">
        <v>90.770651127469591</v>
      </c>
      <c r="H103" s="15">
        <v>796.49404572672688</v>
      </c>
      <c r="I103" s="16">
        <v>-2.621327215870028</v>
      </c>
    </row>
    <row r="104" spans="6:9" x14ac:dyDescent="0.3">
      <c r="F104" s="13" t="s">
        <v>9</v>
      </c>
      <c r="G104" s="13">
        <v>89.259924364612885</v>
      </c>
      <c r="H104" s="13">
        <v>798.09575520527324</v>
      </c>
      <c r="I104" s="14">
        <v>-7.9283842031785401E-2</v>
      </c>
    </row>
    <row r="105" spans="6:9" x14ac:dyDescent="0.3">
      <c r="F105" s="15" t="s">
        <v>9</v>
      </c>
      <c r="G105" s="15">
        <v>88.957372201806805</v>
      </c>
      <c r="H105" s="15">
        <v>799.91347534121508</v>
      </c>
      <c r="I105" s="16">
        <v>2.3565482990136828</v>
      </c>
    </row>
    <row r="106" spans="6:9" x14ac:dyDescent="0.3">
      <c r="F106" s="13" t="s">
        <v>9</v>
      </c>
      <c r="G106" s="13">
        <v>87.145144298204954</v>
      </c>
      <c r="H106" s="13">
        <v>802.01208790620183</v>
      </c>
      <c r="I106" s="14">
        <v>-2.094128373960737</v>
      </c>
    </row>
    <row r="107" spans="6:9" x14ac:dyDescent="0.3">
      <c r="F107" s="15" t="s">
        <v>9</v>
      </c>
      <c r="G107" s="15">
        <v>89.864916825573246</v>
      </c>
      <c r="H107" s="15">
        <v>795.04836036972472</v>
      </c>
      <c r="I107" s="16">
        <v>3.7699480381019388</v>
      </c>
    </row>
    <row r="108" spans="6:9" x14ac:dyDescent="0.3">
      <c r="F108" s="13" t="s">
        <v>9</v>
      </c>
      <c r="G108" s="13">
        <v>87.645286591628775</v>
      </c>
      <c r="H108" s="13">
        <v>798.95073728236616</v>
      </c>
      <c r="I108" s="14">
        <v>2.8680320864520081</v>
      </c>
    </row>
    <row r="109" spans="6:9" x14ac:dyDescent="0.3">
      <c r="F109" s="15" t="s">
        <v>9</v>
      </c>
      <c r="G109" s="15">
        <v>84.996174190235593</v>
      </c>
      <c r="H109" s="15">
        <v>802.26921931563641</v>
      </c>
      <c r="I109" s="16">
        <v>-0.71264507686191703</v>
      </c>
    </row>
    <row r="110" spans="6:9" x14ac:dyDescent="0.3">
      <c r="F110" s="13" t="s">
        <v>9</v>
      </c>
      <c r="G110" s="13">
        <v>88.85932043913671</v>
      </c>
      <c r="H110" s="13">
        <v>798.38357252006722</v>
      </c>
      <c r="I110" s="14">
        <v>2.678974827143191</v>
      </c>
    </row>
    <row r="111" spans="6:9" x14ac:dyDescent="0.3">
      <c r="F111" s="15" t="s">
        <v>9</v>
      </c>
      <c r="G111" s="15">
        <v>92.756989827182295</v>
      </c>
      <c r="H111" s="15">
        <v>800.68187576501884</v>
      </c>
      <c r="I111" s="16">
        <v>4.2442434874815307</v>
      </c>
    </row>
    <row r="112" spans="6:9" x14ac:dyDescent="0.3">
      <c r="F112" s="13" t="s">
        <v>9</v>
      </c>
      <c r="G112" s="13">
        <v>88.273959112174822</v>
      </c>
      <c r="H112" s="13">
        <v>801.47668571019335</v>
      </c>
      <c r="I112" s="14">
        <v>5.1832857597852247</v>
      </c>
    </row>
    <row r="113" spans="6:9" x14ac:dyDescent="0.3">
      <c r="F113" s="15" t="s">
        <v>9</v>
      </c>
      <c r="G113" s="15">
        <v>91.823892966675103</v>
      </c>
      <c r="H113" s="15">
        <v>800.80350504599505</v>
      </c>
      <c r="I113" s="16">
        <v>1.3614551640604169</v>
      </c>
    </row>
    <row r="114" spans="6:9" x14ac:dyDescent="0.3">
      <c r="F114" s="13" t="s">
        <v>9</v>
      </c>
      <c r="G114" s="13">
        <v>85.14635187513251</v>
      </c>
      <c r="H114" s="13">
        <v>801.95977303841414</v>
      </c>
      <c r="I114" s="14">
        <v>1.7190896182668629</v>
      </c>
    </row>
    <row r="115" spans="6:9" x14ac:dyDescent="0.3">
      <c r="F115" s="15" t="s">
        <v>9</v>
      </c>
      <c r="G115" s="15">
        <v>89.833314103426375</v>
      </c>
      <c r="H115" s="15">
        <v>799.63187401706784</v>
      </c>
      <c r="I115" s="16">
        <v>1.739857595054225</v>
      </c>
    </row>
    <row r="116" spans="6:9" x14ac:dyDescent="0.3">
      <c r="F116" s="13" t="s">
        <v>9</v>
      </c>
      <c r="G116" s="13">
        <v>91.55822161183039</v>
      </c>
      <c r="H116" s="13">
        <v>798.75897045922363</v>
      </c>
      <c r="I116" s="14">
        <v>6.324385268165134</v>
      </c>
    </row>
    <row r="117" spans="6:9" x14ac:dyDescent="0.3">
      <c r="F117" s="15" t="s">
        <v>9</v>
      </c>
      <c r="G117" s="15">
        <v>90.903460086500147</v>
      </c>
      <c r="H117" s="15">
        <v>792.07055314391312</v>
      </c>
      <c r="I117" s="16">
        <v>5.3752156768339816</v>
      </c>
    </row>
    <row r="118" spans="6:9" x14ac:dyDescent="0.3">
      <c r="F118" s="13" t="s">
        <v>9</v>
      </c>
      <c r="G118" s="13">
        <v>90.317028582446824</v>
      </c>
      <c r="H118" s="13">
        <v>799.72117694456153</v>
      </c>
      <c r="I118" s="14">
        <v>4.503204703271118</v>
      </c>
    </row>
    <row r="119" spans="6:9" x14ac:dyDescent="0.3">
      <c r="F119" s="15" t="s">
        <v>9</v>
      </c>
      <c r="G119" s="15">
        <v>88.077881975083869</v>
      </c>
      <c r="H119" s="15">
        <v>801.29085408907997</v>
      </c>
      <c r="I119" s="16">
        <v>1.1379776004779221</v>
      </c>
    </row>
    <row r="120" spans="6:9" x14ac:dyDescent="0.3">
      <c r="F120" s="13" t="s">
        <v>9</v>
      </c>
      <c r="G120" s="13">
        <v>87.450886961899258</v>
      </c>
      <c r="H120" s="13">
        <v>801.60619652260448</v>
      </c>
      <c r="I120" s="14">
        <v>3.1197243024992178</v>
      </c>
    </row>
    <row r="121" spans="6:9" x14ac:dyDescent="0.3">
      <c r="F121" s="15" t="s">
        <v>9</v>
      </c>
      <c r="G121" s="15">
        <v>86.927613628185256</v>
      </c>
      <c r="H121" s="15">
        <v>798.33416494606024</v>
      </c>
      <c r="I121" s="16">
        <v>3.2098709936620868</v>
      </c>
    </row>
    <row r="122" spans="6:9" x14ac:dyDescent="0.3">
      <c r="F122" s="13" t="s">
        <v>9</v>
      </c>
      <c r="G122" s="13">
        <v>90.352939791300372</v>
      </c>
      <c r="H122" s="13">
        <v>805.33850872932544</v>
      </c>
      <c r="I122" s="14">
        <v>-1.1250198828679669</v>
      </c>
    </row>
    <row r="123" spans="6:9" x14ac:dyDescent="0.3">
      <c r="F123" s="15" t="s">
        <v>9</v>
      </c>
      <c r="G123" s="15">
        <v>87.15757615744559</v>
      </c>
      <c r="H123" s="15">
        <v>800.85927325888645</v>
      </c>
      <c r="I123" s="16">
        <v>-3.1849135459622282</v>
      </c>
    </row>
    <row r="124" spans="6:9" x14ac:dyDescent="0.3">
      <c r="F124" s="13" t="s">
        <v>9</v>
      </c>
      <c r="G124" s="13">
        <v>88.528327668898001</v>
      </c>
      <c r="H124" s="13">
        <v>800.37894757537663</v>
      </c>
      <c r="I124" s="14">
        <v>3.9254900829548478</v>
      </c>
    </row>
    <row r="125" spans="6:9" x14ac:dyDescent="0.3">
      <c r="F125" s="15" t="s">
        <v>9</v>
      </c>
      <c r="G125" s="15">
        <v>89.231723423405256</v>
      </c>
      <c r="H125" s="15">
        <v>803.81680033840553</v>
      </c>
      <c r="I125" s="16">
        <v>-2.5879315935412648</v>
      </c>
    </row>
    <row r="126" spans="6:9" x14ac:dyDescent="0.3">
      <c r="F126" s="13" t="s">
        <v>9</v>
      </c>
      <c r="G126" s="13">
        <v>95.531586015696618</v>
      </c>
      <c r="H126" s="13">
        <v>797.84460133604227</v>
      </c>
      <c r="I126" s="14">
        <v>2.0050510654526299</v>
      </c>
    </row>
    <row r="127" spans="6:9" x14ac:dyDescent="0.3">
      <c r="F127" s="15" t="s">
        <v>9</v>
      </c>
      <c r="G127" s="15">
        <v>88.044150294913621</v>
      </c>
      <c r="H127" s="15">
        <v>798.64898412822583</v>
      </c>
      <c r="I127" s="16">
        <v>2.750743464044993</v>
      </c>
    </row>
    <row r="128" spans="6:9" x14ac:dyDescent="0.3">
      <c r="F128" s="13" t="s">
        <v>9</v>
      </c>
      <c r="G128" s="13">
        <v>90.706159716854572</v>
      </c>
      <c r="H128" s="13">
        <v>807.19235744014929</v>
      </c>
      <c r="I128" s="14">
        <v>3.6916021709176499</v>
      </c>
    </row>
    <row r="129" spans="6:9" x14ac:dyDescent="0.3">
      <c r="F129" s="15" t="s">
        <v>9</v>
      </c>
      <c r="G129" s="15">
        <v>90.233882548691128</v>
      </c>
      <c r="H129" s="15">
        <v>800.03338756166261</v>
      </c>
      <c r="I129" s="16">
        <v>2.5682787125444322</v>
      </c>
    </row>
    <row r="130" spans="6:9" x14ac:dyDescent="0.3">
      <c r="F130" s="13" t="s">
        <v>9</v>
      </c>
      <c r="G130" s="13">
        <v>87.114430097609613</v>
      </c>
      <c r="H130" s="13">
        <v>804.90070526422494</v>
      </c>
      <c r="I130" s="14">
        <v>-0.1985614188913756</v>
      </c>
    </row>
    <row r="131" spans="6:9" x14ac:dyDescent="0.3">
      <c r="F131" s="15" t="s">
        <v>9</v>
      </c>
      <c r="G131" s="15">
        <v>89.786075741629205</v>
      </c>
      <c r="H131" s="15">
        <v>795.68448006525648</v>
      </c>
      <c r="I131" s="16">
        <v>4.959097579686385</v>
      </c>
    </row>
    <row r="132" spans="6:9" x14ac:dyDescent="0.3">
      <c r="F132" s="13" t="s">
        <v>9</v>
      </c>
      <c r="G132" s="13">
        <v>94.333652575270051</v>
      </c>
      <c r="H132" s="13">
        <v>799.42844959387128</v>
      </c>
      <c r="I132" s="14">
        <v>7.2159013007187376</v>
      </c>
    </row>
    <row r="133" spans="6:9" x14ac:dyDescent="0.3">
      <c r="F133" s="15" t="s">
        <v>9</v>
      </c>
      <c r="G133" s="15">
        <v>91.354512159237643</v>
      </c>
      <c r="H133" s="15">
        <v>801.1352717109105</v>
      </c>
      <c r="I133" s="16">
        <v>4.6435364267763282</v>
      </c>
    </row>
    <row r="134" spans="6:9" x14ac:dyDescent="0.3">
      <c r="F134" s="13" t="s">
        <v>9</v>
      </c>
      <c r="G134" s="13">
        <v>90.123698765978816</v>
      </c>
      <c r="H134" s="13">
        <v>800.90011563561734</v>
      </c>
      <c r="I134" s="14">
        <v>-3.8309527039719269</v>
      </c>
    </row>
    <row r="135" spans="6:9" x14ac:dyDescent="0.3">
      <c r="F135" s="15" t="s">
        <v>9</v>
      </c>
      <c r="G135" s="15">
        <v>88.732509502981131</v>
      </c>
      <c r="H135" s="15">
        <v>796.98309122146748</v>
      </c>
      <c r="I135" s="16">
        <v>6.198728556208831</v>
      </c>
    </row>
    <row r="136" spans="6:9" x14ac:dyDescent="0.3">
      <c r="F136" s="13" t="s">
        <v>9</v>
      </c>
      <c r="G136" s="13">
        <v>83.840258335378451</v>
      </c>
      <c r="H136" s="13">
        <v>800.05777782387611</v>
      </c>
      <c r="I136" s="14">
        <v>1.8318321614411961</v>
      </c>
    </row>
    <row r="137" spans="6:9" x14ac:dyDescent="0.3">
      <c r="F137" s="15" t="s">
        <v>9</v>
      </c>
      <c r="G137" s="15">
        <v>93.394011640242525</v>
      </c>
      <c r="H137" s="15">
        <v>796.76773804066409</v>
      </c>
      <c r="I137" s="16">
        <v>3.5747428379578698</v>
      </c>
    </row>
    <row r="138" spans="6:9" x14ac:dyDescent="0.3">
      <c r="F138" s="13" t="s">
        <v>9</v>
      </c>
      <c r="G138" s="13">
        <v>85.61807978722554</v>
      </c>
      <c r="H138" s="13">
        <v>802.13810997573285</v>
      </c>
      <c r="I138" s="14">
        <v>3.8660997076131811</v>
      </c>
    </row>
    <row r="139" spans="6:9" x14ac:dyDescent="0.3">
      <c r="F139" s="15" t="s">
        <v>9</v>
      </c>
      <c r="G139" s="15">
        <v>92.219842532632001</v>
      </c>
      <c r="H139" s="15">
        <v>803.25432526958195</v>
      </c>
      <c r="I139" s="16">
        <v>1.7099417803798851</v>
      </c>
    </row>
    <row r="140" spans="6:9" x14ac:dyDescent="0.3">
      <c r="F140" s="13" t="s">
        <v>9</v>
      </c>
      <c r="G140" s="13">
        <v>95.72731070765245</v>
      </c>
      <c r="H140" s="13">
        <v>793.32503691053773</v>
      </c>
      <c r="I140" s="14">
        <v>1.7742104070538209</v>
      </c>
    </row>
    <row r="141" spans="6:9" x14ac:dyDescent="0.3">
      <c r="F141" s="15" t="s">
        <v>9</v>
      </c>
      <c r="G141" s="15">
        <v>85.668320517084595</v>
      </c>
      <c r="H141" s="15">
        <v>803.70708038690043</v>
      </c>
      <c r="I141" s="16">
        <v>5.0574712079927</v>
      </c>
    </row>
    <row r="142" spans="6:9" x14ac:dyDescent="0.3">
      <c r="F142" s="13" t="s">
        <v>9</v>
      </c>
      <c r="G142" s="13">
        <v>92.105353006124133</v>
      </c>
      <c r="H142" s="13">
        <v>796.27686650957457</v>
      </c>
      <c r="I142" s="14">
        <v>4.1348057674587322</v>
      </c>
    </row>
    <row r="143" spans="6:9" x14ac:dyDescent="0.3">
      <c r="F143" s="15" t="s">
        <v>9</v>
      </c>
      <c r="G143" s="15">
        <v>89.213407531792598</v>
      </c>
      <c r="H143" s="15">
        <v>801.36430780694786</v>
      </c>
      <c r="I143" s="16">
        <v>4.970786738132694</v>
      </c>
    </row>
    <row r="144" spans="6:9" x14ac:dyDescent="0.3">
      <c r="F144" s="13" t="s">
        <v>9</v>
      </c>
      <c r="G144" s="13">
        <v>85.283567522563544</v>
      </c>
      <c r="H144" s="13">
        <v>801.97970791442788</v>
      </c>
      <c r="I144" s="14">
        <v>9.1487800856909818</v>
      </c>
    </row>
    <row r="145" spans="6:9" x14ac:dyDescent="0.3">
      <c r="F145" s="15" t="s">
        <v>9</v>
      </c>
      <c r="G145" s="15">
        <v>85.455997038654743</v>
      </c>
      <c r="H145" s="15">
        <v>799.40033051569571</v>
      </c>
      <c r="I145" s="16">
        <v>3.9932475910822611</v>
      </c>
    </row>
    <row r="146" spans="6:9" x14ac:dyDescent="0.3">
      <c r="F146" s="13" t="s">
        <v>9</v>
      </c>
      <c r="G146" s="13">
        <v>85.195391479276225</v>
      </c>
      <c r="H146" s="13">
        <v>798.06465812942065</v>
      </c>
      <c r="I146" s="14">
        <v>2.62214347215592</v>
      </c>
    </row>
    <row r="147" spans="6:9" x14ac:dyDescent="0.3">
      <c r="F147" s="15" t="s">
        <v>9</v>
      </c>
      <c r="G147" s="15">
        <v>88.407280433489092</v>
      </c>
      <c r="H147" s="15">
        <v>800.49596306372609</v>
      </c>
      <c r="I147" s="16">
        <v>-4.6318993317268617</v>
      </c>
    </row>
    <row r="148" spans="6:9" x14ac:dyDescent="0.3">
      <c r="F148" s="13" t="s">
        <v>9</v>
      </c>
      <c r="G148" s="13">
        <v>85.614733245012303</v>
      </c>
      <c r="H148" s="13">
        <v>801.31645610214332</v>
      </c>
      <c r="I148" s="14">
        <v>10.07514200973835</v>
      </c>
    </row>
    <row r="149" spans="6:9" x14ac:dyDescent="0.3">
      <c r="F149" s="15" t="s">
        <v>9</v>
      </c>
      <c r="G149" s="15">
        <v>92.063750318927475</v>
      </c>
      <c r="H149" s="15">
        <v>802.64990845984607</v>
      </c>
      <c r="I149" s="16">
        <v>0.55196953461107645</v>
      </c>
    </row>
    <row r="150" spans="6:9" x14ac:dyDescent="0.3">
      <c r="F150" s="13" t="s">
        <v>9</v>
      </c>
      <c r="G150" s="13">
        <v>96.300326821577016</v>
      </c>
      <c r="H150" s="13">
        <v>793.84298904829416</v>
      </c>
      <c r="I150" s="14">
        <v>9.124204145286182</v>
      </c>
    </row>
    <row r="151" spans="6:9" x14ac:dyDescent="0.3">
      <c r="F151" s="15" t="s">
        <v>9</v>
      </c>
      <c r="G151" s="15">
        <v>86.138908571894461</v>
      </c>
      <c r="H151" s="15">
        <v>795.09086219582298</v>
      </c>
      <c r="I151" s="16">
        <v>3.1239307040149629</v>
      </c>
    </row>
    <row r="152" spans="6:9" x14ac:dyDescent="0.3">
      <c r="F152" s="13" t="s">
        <v>9</v>
      </c>
      <c r="G152" s="13">
        <v>92.363216542425533</v>
      </c>
      <c r="H152" s="13">
        <v>804.29120702356454</v>
      </c>
      <c r="I152" s="14">
        <v>6.6152905966903814</v>
      </c>
    </row>
    <row r="153" spans="6:9" x14ac:dyDescent="0.3">
      <c r="F153" s="15" t="s">
        <v>9</v>
      </c>
      <c r="G153" s="15">
        <v>92.307126723002725</v>
      </c>
      <c r="H153" s="15">
        <v>803.13988654133459</v>
      </c>
      <c r="I153" s="16">
        <v>1.670869036471283</v>
      </c>
    </row>
    <row r="154" spans="6:9" x14ac:dyDescent="0.3">
      <c r="F154" s="13" t="s">
        <v>9</v>
      </c>
      <c r="G154" s="13">
        <v>90.996607736850351</v>
      </c>
      <c r="H154" s="13">
        <v>801.30586684672301</v>
      </c>
      <c r="I154" s="14">
        <v>3.5344122640943758</v>
      </c>
    </row>
    <row r="155" spans="6:9" x14ac:dyDescent="0.3">
      <c r="F155" s="15" t="s">
        <v>9</v>
      </c>
      <c r="G155" s="15">
        <v>86.974870175168974</v>
      </c>
      <c r="H155" s="15">
        <v>802.14553522133315</v>
      </c>
      <c r="I155" s="16">
        <v>2.641873938926786</v>
      </c>
    </row>
    <row r="156" spans="6:9" x14ac:dyDescent="0.3">
      <c r="F156" s="13" t="s">
        <v>9</v>
      </c>
      <c r="G156" s="13">
        <v>89.641642180108022</v>
      </c>
      <c r="H156" s="13">
        <v>802.75152475292305</v>
      </c>
      <c r="I156" s="14">
        <v>1.4416379018795129</v>
      </c>
    </row>
    <row r="157" spans="6:9" x14ac:dyDescent="0.3">
      <c r="F157" s="15" t="s">
        <v>9</v>
      </c>
      <c r="G157" s="15">
        <v>89.158813994489265</v>
      </c>
      <c r="H157" s="15">
        <v>792.01723160460301</v>
      </c>
      <c r="I157" s="16">
        <v>1.638818526132519</v>
      </c>
    </row>
    <row r="158" spans="6:9" x14ac:dyDescent="0.3">
      <c r="F158" s="13" t="s">
        <v>9</v>
      </c>
      <c r="G158" s="13">
        <v>91.688968599661436</v>
      </c>
      <c r="H158" s="13">
        <v>803.33083128991643</v>
      </c>
      <c r="I158" s="14">
        <v>5.0385030075327633</v>
      </c>
    </row>
    <row r="159" spans="6:9" x14ac:dyDescent="0.3">
      <c r="F159" s="15" t="s">
        <v>9</v>
      </c>
      <c r="G159" s="15">
        <v>88.882683731688516</v>
      </c>
      <c r="H159" s="15">
        <v>798.54503721031301</v>
      </c>
      <c r="I159" s="16">
        <v>1.3956255590855009</v>
      </c>
    </row>
    <row r="160" spans="6:9" x14ac:dyDescent="0.3">
      <c r="F160" s="13" t="s">
        <v>9</v>
      </c>
      <c r="G160" s="13">
        <v>92.930920160056857</v>
      </c>
      <c r="H160" s="13">
        <v>800.69185049189366</v>
      </c>
      <c r="I160" s="14">
        <v>-4.1130474833224007</v>
      </c>
    </row>
    <row r="161" spans="6:9" x14ac:dyDescent="0.3">
      <c r="F161" s="15" t="s">
        <v>9</v>
      </c>
      <c r="G161" s="15">
        <v>88.876257426698956</v>
      </c>
      <c r="H161" s="15">
        <v>799.11452659734925</v>
      </c>
      <c r="I161" s="16">
        <v>1.4123322535105169</v>
      </c>
    </row>
    <row r="162" spans="6:9" x14ac:dyDescent="0.3">
      <c r="F162" s="13" t="s">
        <v>9</v>
      </c>
      <c r="G162" s="13">
        <v>93.158134396737992</v>
      </c>
      <c r="H162" s="13">
        <v>802.61589486223625</v>
      </c>
      <c r="I162" s="14">
        <v>3.619371816608822</v>
      </c>
    </row>
    <row r="163" spans="6:9" x14ac:dyDescent="0.3">
      <c r="F163" s="15" t="s">
        <v>9</v>
      </c>
      <c r="G163" s="15">
        <v>86.852468980001802</v>
      </c>
      <c r="H163" s="15">
        <v>798.95458265313312</v>
      </c>
      <c r="I163" s="16">
        <v>3.8493671490543191</v>
      </c>
    </row>
    <row r="164" spans="6:9" x14ac:dyDescent="0.3">
      <c r="F164" s="13" t="s">
        <v>9</v>
      </c>
      <c r="G164" s="13">
        <v>86.219534265725656</v>
      </c>
      <c r="H164" s="13">
        <v>801.55551129766479</v>
      </c>
      <c r="I164" s="14">
        <v>3.8497034524323022</v>
      </c>
    </row>
    <row r="165" spans="6:9" x14ac:dyDescent="0.3">
      <c r="F165" s="15" t="s">
        <v>9</v>
      </c>
      <c r="G165" s="15">
        <v>99.723119804827206</v>
      </c>
      <c r="H165" s="15">
        <v>798.82794506408311</v>
      </c>
      <c r="I165" s="16">
        <v>-3.0763045626072438</v>
      </c>
    </row>
    <row r="166" spans="6:9" x14ac:dyDescent="0.3">
      <c r="F166" s="13" t="s">
        <v>9</v>
      </c>
      <c r="G166" s="13">
        <v>88.749427235518709</v>
      </c>
      <c r="H166" s="13">
        <v>796.72163837269545</v>
      </c>
      <c r="I166" s="14">
        <v>3.1062261740335821</v>
      </c>
    </row>
    <row r="167" spans="6:9" x14ac:dyDescent="0.3">
      <c r="F167" s="15" t="s">
        <v>9</v>
      </c>
      <c r="G167" s="15">
        <v>90.89468277462214</v>
      </c>
      <c r="H167" s="15">
        <v>803.63003153132081</v>
      </c>
      <c r="I167" s="16">
        <v>4.9035776298411911</v>
      </c>
    </row>
    <row r="168" spans="6:9" x14ac:dyDescent="0.3">
      <c r="F168" s="13" t="s">
        <v>9</v>
      </c>
      <c r="G168" s="13">
        <v>91.909709022101552</v>
      </c>
      <c r="H168" s="13">
        <v>802.22270003382278</v>
      </c>
      <c r="I168" s="14">
        <v>5.8297360444029707</v>
      </c>
    </row>
    <row r="169" spans="6:9" x14ac:dyDescent="0.3">
      <c r="F169" s="15" t="s">
        <v>9</v>
      </c>
      <c r="G169" s="15">
        <v>88.548658122873775</v>
      </c>
      <c r="H169" s="15">
        <v>805.17278671746931</v>
      </c>
      <c r="I169" s="16">
        <v>1.325116186867652</v>
      </c>
    </row>
    <row r="170" spans="6:9" x14ac:dyDescent="0.3">
      <c r="F170" s="13" t="s">
        <v>9</v>
      </c>
      <c r="G170" s="13">
        <v>91.550586132940822</v>
      </c>
      <c r="H170" s="13">
        <v>800.19546179773795</v>
      </c>
      <c r="I170" s="14">
        <v>1.034322241451596</v>
      </c>
    </row>
    <row r="171" spans="6:9" x14ac:dyDescent="0.3">
      <c r="F171" s="15" t="s">
        <v>9</v>
      </c>
      <c r="G171" s="15">
        <v>91.106893582155251</v>
      </c>
      <c r="H171" s="15">
        <v>803.37500823748451</v>
      </c>
      <c r="I171" s="16">
        <v>6.4635134956341176</v>
      </c>
    </row>
    <row r="172" spans="6:9" x14ac:dyDescent="0.3">
      <c r="F172" s="13" t="s">
        <v>9</v>
      </c>
      <c r="G172" s="13">
        <v>89.353858477074922</v>
      </c>
      <c r="H172" s="13">
        <v>805.92625716205725</v>
      </c>
      <c r="I172" s="14">
        <v>-3.0037841373379588</v>
      </c>
    </row>
    <row r="173" spans="6:9" x14ac:dyDescent="0.3">
      <c r="F173" s="15" t="s">
        <v>9</v>
      </c>
      <c r="G173" s="15">
        <v>90.195879100575951</v>
      </c>
      <c r="H173" s="15">
        <v>799.15555365488308</v>
      </c>
      <c r="I173" s="16">
        <v>0.68951006926062552</v>
      </c>
    </row>
    <row r="174" spans="6:9" x14ac:dyDescent="0.3">
      <c r="F174" s="13" t="s">
        <v>9</v>
      </c>
      <c r="G174" s="13">
        <v>89.897798238784603</v>
      </c>
      <c r="H174" s="13">
        <v>796.0311466617344</v>
      </c>
      <c r="I174" s="14">
        <v>3.3723862380723642</v>
      </c>
    </row>
    <row r="175" spans="6:9" x14ac:dyDescent="0.3">
      <c r="F175" s="15" t="s">
        <v>9</v>
      </c>
      <c r="G175" s="15">
        <v>96.385355697048539</v>
      </c>
      <c r="H175" s="15">
        <v>799.2819452985857</v>
      </c>
      <c r="I175" s="16">
        <v>-2.8533212961436791</v>
      </c>
    </row>
    <row r="176" spans="6:9" x14ac:dyDescent="0.3">
      <c r="F176" s="13" t="s">
        <v>9</v>
      </c>
      <c r="G176" s="13">
        <v>87.775991711181518</v>
      </c>
      <c r="H176" s="13">
        <v>799.3578762800438</v>
      </c>
      <c r="I176" s="14">
        <v>2.838883587295272</v>
      </c>
    </row>
    <row r="177" spans="6:9" x14ac:dyDescent="0.3">
      <c r="F177" s="15" t="s">
        <v>9</v>
      </c>
      <c r="G177" s="15">
        <v>86.712011198776011</v>
      </c>
      <c r="H177" s="15">
        <v>800.45504151352793</v>
      </c>
      <c r="I177" s="16">
        <v>7.6335920631565788</v>
      </c>
    </row>
    <row r="178" spans="6:9" x14ac:dyDescent="0.3">
      <c r="F178" s="13" t="s">
        <v>9</v>
      </c>
      <c r="G178" s="13">
        <v>90.113365197513232</v>
      </c>
      <c r="H178" s="13">
        <v>805.13691493195779</v>
      </c>
      <c r="I178" s="14">
        <v>1.9878180396909779</v>
      </c>
    </row>
    <row r="179" spans="6:9" x14ac:dyDescent="0.3">
      <c r="F179" s="15" t="s">
        <v>9</v>
      </c>
      <c r="G179" s="15">
        <v>90.931442248329418</v>
      </c>
      <c r="H179" s="15">
        <v>799.02156832248397</v>
      </c>
      <c r="I179" s="16">
        <v>1.1646379251092409</v>
      </c>
    </row>
    <row r="180" spans="6:9" x14ac:dyDescent="0.3">
      <c r="F180" s="13" t="s">
        <v>9</v>
      </c>
      <c r="G180" s="13">
        <v>91.309570436730553</v>
      </c>
      <c r="H180" s="13">
        <v>801.11901396741473</v>
      </c>
      <c r="I180" s="14">
        <v>3.424735142102163</v>
      </c>
    </row>
    <row r="181" spans="6:9" x14ac:dyDescent="0.3">
      <c r="F181" s="15" t="s">
        <v>9</v>
      </c>
      <c r="G181" s="15">
        <v>88.624904001866682</v>
      </c>
      <c r="H181" s="15">
        <v>799.31694780531336</v>
      </c>
      <c r="I181" s="16">
        <v>1.16278348763808</v>
      </c>
    </row>
    <row r="182" spans="6:9" x14ac:dyDescent="0.3">
      <c r="F182" s="13" t="s">
        <v>9</v>
      </c>
      <c r="G182" s="13">
        <v>86.810021598086422</v>
      </c>
      <c r="H182" s="13">
        <v>800.06135212557513</v>
      </c>
      <c r="I182" s="14">
        <v>4.4402011222371947</v>
      </c>
    </row>
    <row r="183" spans="6:9" x14ac:dyDescent="0.3">
      <c r="F183" s="15" t="s">
        <v>9</v>
      </c>
      <c r="G183" s="15">
        <v>93.789555528268465</v>
      </c>
      <c r="H183" s="15">
        <v>800.94217299051877</v>
      </c>
      <c r="I183" s="16">
        <v>4.713306393349086</v>
      </c>
    </row>
    <row r="184" spans="6:9" x14ac:dyDescent="0.3">
      <c r="F184" s="13" t="s">
        <v>9</v>
      </c>
      <c r="G184" s="13">
        <v>88.951048836139336</v>
      </c>
      <c r="H184" s="13">
        <v>803.98464408811094</v>
      </c>
      <c r="I184" s="14">
        <v>2.0080749836903631</v>
      </c>
    </row>
    <row r="185" spans="6:9" x14ac:dyDescent="0.3">
      <c r="F185" s="15" t="s">
        <v>9</v>
      </c>
      <c r="G185" s="15">
        <v>87.403461412039874</v>
      </c>
      <c r="H185" s="15">
        <v>800.36395513247237</v>
      </c>
      <c r="I185" s="16">
        <v>-1.5300764732491809</v>
      </c>
    </row>
    <row r="186" spans="6:9" x14ac:dyDescent="0.3">
      <c r="F186" s="13" t="s">
        <v>9</v>
      </c>
      <c r="G186" s="13">
        <v>89.291161293176714</v>
      </c>
      <c r="H186" s="13">
        <v>802.13852696009337</v>
      </c>
      <c r="I186" s="14">
        <v>-1.954662182377263</v>
      </c>
    </row>
    <row r="187" spans="6:9" x14ac:dyDescent="0.3">
      <c r="F187" s="15" t="s">
        <v>9</v>
      </c>
      <c r="G187" s="15">
        <v>89.408472316954345</v>
      </c>
      <c r="H187" s="15">
        <v>802.3365800893506</v>
      </c>
      <c r="I187" s="16">
        <v>0.2210079030340493</v>
      </c>
    </row>
    <row r="188" spans="6:9" x14ac:dyDescent="0.3">
      <c r="F188" s="13" t="s">
        <v>9</v>
      </c>
      <c r="G188" s="13">
        <v>93.329760869140927</v>
      </c>
      <c r="H188" s="13">
        <v>802.74431981256691</v>
      </c>
      <c r="I188" s="14">
        <v>4.3921415016495056</v>
      </c>
    </row>
    <row r="189" spans="6:9" x14ac:dyDescent="0.3">
      <c r="F189" s="15" t="s">
        <v>9</v>
      </c>
      <c r="G189" s="15">
        <v>90.254211876591583</v>
      </c>
      <c r="H189" s="15">
        <v>798.27681634344685</v>
      </c>
      <c r="I189" s="16">
        <v>-3.874615523970776</v>
      </c>
    </row>
    <row r="190" spans="6:9" x14ac:dyDescent="0.3">
      <c r="F190" s="13" t="s">
        <v>9</v>
      </c>
      <c r="G190" s="13">
        <v>92.262161355553559</v>
      </c>
      <c r="H190" s="13">
        <v>804.880643642584</v>
      </c>
      <c r="I190" s="14">
        <v>-3.6589754761976381</v>
      </c>
    </row>
    <row r="191" spans="6:9" x14ac:dyDescent="0.3">
      <c r="F191" s="15" t="s">
        <v>9</v>
      </c>
      <c r="G191" s="15">
        <v>88.502123948483217</v>
      </c>
      <c r="H191" s="15">
        <v>798.85712978211791</v>
      </c>
      <c r="I191" s="16">
        <v>3.8660525719691467E-2</v>
      </c>
    </row>
    <row r="192" spans="6:9" x14ac:dyDescent="0.3">
      <c r="F192" s="13" t="s">
        <v>9</v>
      </c>
      <c r="G192" s="13">
        <v>90.643335928744804</v>
      </c>
      <c r="H192" s="13">
        <v>799.68264749705077</v>
      </c>
      <c r="I192" s="14">
        <v>3.1831845439417541</v>
      </c>
    </row>
    <row r="193" spans="6:9" x14ac:dyDescent="0.3">
      <c r="F193" s="15" t="s">
        <v>9</v>
      </c>
      <c r="G193" s="15">
        <v>89.02594226552749</v>
      </c>
      <c r="H193" s="15">
        <v>804.21215080314255</v>
      </c>
      <c r="I193" s="16">
        <v>-0.74069814449497651</v>
      </c>
    </row>
    <row r="194" spans="6:9" x14ac:dyDescent="0.3">
      <c r="F194" s="13" t="s">
        <v>9</v>
      </c>
      <c r="G194" s="13">
        <v>90.283750584520718</v>
      </c>
      <c r="H194" s="13">
        <v>803.88225171843669</v>
      </c>
      <c r="I194" s="14">
        <v>4.6602471112881778</v>
      </c>
    </row>
    <row r="195" spans="6:9" x14ac:dyDescent="0.3">
      <c r="F195" s="15" t="s">
        <v>9</v>
      </c>
      <c r="G195" s="15">
        <v>87.313909926067382</v>
      </c>
      <c r="H195" s="15">
        <v>796.73002438276626</v>
      </c>
      <c r="I195" s="16">
        <v>3.0001099104655471</v>
      </c>
    </row>
    <row r="196" spans="6:9" x14ac:dyDescent="0.3">
      <c r="F196" s="13" t="s">
        <v>9</v>
      </c>
      <c r="G196" s="13">
        <v>86.067595400016089</v>
      </c>
      <c r="H196" s="13">
        <v>797.38078699874757</v>
      </c>
      <c r="I196" s="14">
        <v>1.48808114528417</v>
      </c>
    </row>
    <row r="197" spans="6:9" x14ac:dyDescent="0.3">
      <c r="F197" s="15" t="s">
        <v>9</v>
      </c>
      <c r="G197" s="15">
        <v>95.991640154243896</v>
      </c>
      <c r="H197" s="15">
        <v>795.92576282188816</v>
      </c>
      <c r="I197" s="16">
        <v>4.4564844095953404</v>
      </c>
    </row>
    <row r="198" spans="6:9" x14ac:dyDescent="0.3">
      <c r="F198" s="13" t="s">
        <v>9</v>
      </c>
      <c r="G198" s="13">
        <v>91.802126471017246</v>
      </c>
      <c r="H198" s="13">
        <v>800.54554157785947</v>
      </c>
      <c r="I198" s="14">
        <v>3.1650954884581028</v>
      </c>
    </row>
    <row r="199" spans="6:9" x14ac:dyDescent="0.3">
      <c r="F199" s="15" t="s">
        <v>9</v>
      </c>
      <c r="G199" s="15">
        <v>86.246185915125167</v>
      </c>
      <c r="H199" s="15">
        <v>800.4945226037554</v>
      </c>
      <c r="I199" s="16">
        <v>0.66219491836353139</v>
      </c>
    </row>
    <row r="200" spans="6:9" x14ac:dyDescent="0.3">
      <c r="F200" s="13" t="s">
        <v>9</v>
      </c>
      <c r="G200" s="13">
        <v>88.166502249958739</v>
      </c>
      <c r="H200" s="13">
        <v>801.09234406206519</v>
      </c>
      <c r="I200" s="14">
        <v>2.69334480325448</v>
      </c>
    </row>
    <row r="201" spans="6:9" x14ac:dyDescent="0.3">
      <c r="F201" s="15" t="s">
        <v>9</v>
      </c>
      <c r="G201" s="15">
        <v>86.443559746208066</v>
      </c>
      <c r="H201" s="15">
        <v>801.65647314265573</v>
      </c>
      <c r="I201" s="16">
        <v>3.9425400739327752</v>
      </c>
    </row>
    <row r="202" spans="6:9" x14ac:dyDescent="0.3">
      <c r="F202" s="13" t="s">
        <v>10</v>
      </c>
      <c r="G202" s="13">
        <v>98.596431046651162</v>
      </c>
      <c r="H202" s="13">
        <v>998.19432146204497</v>
      </c>
      <c r="I202" s="14">
        <v>2.5688500345861409</v>
      </c>
    </row>
    <row r="203" spans="6:9" x14ac:dyDescent="0.3">
      <c r="F203" s="15" t="s">
        <v>10</v>
      </c>
      <c r="G203" s="15">
        <v>95.937238929300534</v>
      </c>
      <c r="H203" s="15">
        <v>997.01890422670385</v>
      </c>
      <c r="I203" s="16">
        <v>-0.47403062384843642</v>
      </c>
    </row>
    <row r="204" spans="6:9" x14ac:dyDescent="0.3">
      <c r="F204" s="13" t="s">
        <v>10</v>
      </c>
      <c r="G204" s="13">
        <v>91.204564829910936</v>
      </c>
      <c r="H204" s="13">
        <v>1003.080355168225</v>
      </c>
      <c r="I204" s="14">
        <v>4.0656066151925749</v>
      </c>
    </row>
    <row r="205" spans="6:9" x14ac:dyDescent="0.3">
      <c r="F205" s="15" t="s">
        <v>10</v>
      </c>
      <c r="G205" s="15">
        <v>93.629582177696264</v>
      </c>
      <c r="H205" s="15">
        <v>1002.253183907819</v>
      </c>
      <c r="I205" s="16">
        <v>4.9588086766758481</v>
      </c>
    </row>
    <row r="206" spans="6:9" x14ac:dyDescent="0.3">
      <c r="F206" s="13" t="s">
        <v>10</v>
      </c>
      <c r="G206" s="13">
        <v>90.756980156243415</v>
      </c>
      <c r="H206" s="13">
        <v>995.47250038801394</v>
      </c>
      <c r="I206" s="14">
        <v>2.32882366963001</v>
      </c>
    </row>
    <row r="207" spans="6:9" x14ac:dyDescent="0.3">
      <c r="F207" s="15" t="s">
        <v>10</v>
      </c>
      <c r="G207" s="15">
        <v>90.57125931615326</v>
      </c>
      <c r="H207" s="15">
        <v>999.71455764745212</v>
      </c>
      <c r="I207" s="16">
        <v>1.9323139873865609</v>
      </c>
    </row>
    <row r="208" spans="6:9" x14ac:dyDescent="0.3">
      <c r="F208" s="13" t="s">
        <v>10</v>
      </c>
      <c r="G208" s="13">
        <v>89.634191486449268</v>
      </c>
      <c r="H208" s="13">
        <v>997.31215653173047</v>
      </c>
      <c r="I208" s="14">
        <v>1.2731247576604861</v>
      </c>
    </row>
    <row r="209" spans="6:9" x14ac:dyDescent="0.3">
      <c r="F209" s="15" t="s">
        <v>10</v>
      </c>
      <c r="G209" s="15">
        <v>90.216148197621465</v>
      </c>
      <c r="H209" s="15">
        <v>993.78774678837408</v>
      </c>
      <c r="I209" s="16">
        <v>7.9842475389083631</v>
      </c>
    </row>
    <row r="210" spans="6:9" x14ac:dyDescent="0.3">
      <c r="F210" s="13" t="s">
        <v>10</v>
      </c>
      <c r="G210" s="13">
        <v>96.952722402010068</v>
      </c>
      <c r="H210" s="13">
        <v>1000.450360393564</v>
      </c>
      <c r="I210" s="14">
        <v>2.3289465964073792</v>
      </c>
    </row>
    <row r="211" spans="6:9" x14ac:dyDescent="0.3">
      <c r="F211" s="15" t="s">
        <v>10</v>
      </c>
      <c r="G211" s="15">
        <v>91.837915624743673</v>
      </c>
      <c r="H211" s="15">
        <v>999.76236487222423</v>
      </c>
      <c r="I211" s="16">
        <v>1.025117913900168</v>
      </c>
    </row>
    <row r="212" spans="6:9" x14ac:dyDescent="0.3">
      <c r="F212" s="13" t="s">
        <v>10</v>
      </c>
      <c r="G212" s="13">
        <v>92.35773570928275</v>
      </c>
      <c r="H212" s="13">
        <v>999.70789219746075</v>
      </c>
      <c r="I212" s="14">
        <v>-6.0237534065917631</v>
      </c>
    </row>
    <row r="213" spans="6:9" x14ac:dyDescent="0.3">
      <c r="F213" s="15" t="s">
        <v>10</v>
      </c>
      <c r="G213" s="15">
        <v>92.731062288797276</v>
      </c>
      <c r="H213" s="15">
        <v>1000.648457625404</v>
      </c>
      <c r="I213" s="16">
        <v>-3.1958452950915981</v>
      </c>
    </row>
    <row r="214" spans="6:9" x14ac:dyDescent="0.3">
      <c r="F214" s="13" t="s">
        <v>10</v>
      </c>
      <c r="G214" s="13">
        <v>95.697427635456009</v>
      </c>
      <c r="H214" s="13">
        <v>1002.6473954931899</v>
      </c>
      <c r="I214" s="14">
        <v>1.2669803981683061</v>
      </c>
    </row>
    <row r="215" spans="6:9" x14ac:dyDescent="0.3">
      <c r="F215" s="15" t="s">
        <v>10</v>
      </c>
      <c r="G215" s="15">
        <v>90.451808507165666</v>
      </c>
      <c r="H215" s="15">
        <v>1000.61679251345</v>
      </c>
      <c r="I215" s="16">
        <v>2.1188821345292941</v>
      </c>
    </row>
    <row r="216" spans="6:9" x14ac:dyDescent="0.3">
      <c r="F216" s="13" t="s">
        <v>10</v>
      </c>
      <c r="G216" s="13">
        <v>89.022478548823884</v>
      </c>
      <c r="H216" s="13">
        <v>998.15069247137944</v>
      </c>
      <c r="I216" s="14">
        <v>2.330617376584843</v>
      </c>
    </row>
    <row r="217" spans="6:9" x14ac:dyDescent="0.3">
      <c r="F217" s="15" t="s">
        <v>10</v>
      </c>
      <c r="G217" s="15">
        <v>97.027090797209567</v>
      </c>
      <c r="H217" s="15">
        <v>997.79560224423619</v>
      </c>
      <c r="I217" s="16">
        <v>3.9645203413458532</v>
      </c>
    </row>
    <row r="218" spans="6:9" x14ac:dyDescent="0.3">
      <c r="F218" s="13" t="s">
        <v>10</v>
      </c>
      <c r="G218" s="13">
        <v>90.676510349284143</v>
      </c>
      <c r="H218" s="13">
        <v>999.60459162087648</v>
      </c>
      <c r="I218" s="14">
        <v>0.91754277203862999</v>
      </c>
    </row>
    <row r="219" spans="6:9" x14ac:dyDescent="0.3">
      <c r="F219" s="15" t="s">
        <v>10</v>
      </c>
      <c r="G219" s="15">
        <v>89.830802090180384</v>
      </c>
      <c r="H219" s="15">
        <v>1000.9300509597369</v>
      </c>
      <c r="I219" s="16">
        <v>5.1437663834476854</v>
      </c>
    </row>
    <row r="220" spans="6:9" x14ac:dyDescent="0.3">
      <c r="F220" s="13" t="s">
        <v>10</v>
      </c>
      <c r="G220" s="13">
        <v>88.291180643350117</v>
      </c>
      <c r="H220" s="13">
        <v>996.88095894189382</v>
      </c>
      <c r="I220" s="14">
        <v>-1.2645481286087339</v>
      </c>
    </row>
    <row r="221" spans="6:9" x14ac:dyDescent="0.3">
      <c r="F221" s="15" t="s">
        <v>10</v>
      </c>
      <c r="G221" s="15">
        <v>88.145852833046604</v>
      </c>
      <c r="H221" s="15">
        <v>999.44707339347281</v>
      </c>
      <c r="I221" s="16">
        <v>-2.125328161329199</v>
      </c>
    </row>
    <row r="222" spans="6:9" x14ac:dyDescent="0.3">
      <c r="F222" s="13" t="s">
        <v>10</v>
      </c>
      <c r="G222" s="13">
        <v>90.278079562106043</v>
      </c>
      <c r="H222" s="13">
        <v>1002.901801780504</v>
      </c>
      <c r="I222" s="14">
        <v>-2.1869585326614431</v>
      </c>
    </row>
    <row r="223" spans="6:9" x14ac:dyDescent="0.3">
      <c r="F223" s="15" t="s">
        <v>10</v>
      </c>
      <c r="G223" s="15">
        <v>93.853957451499582</v>
      </c>
      <c r="H223" s="15">
        <v>999.67515972629656</v>
      </c>
      <c r="I223" s="16">
        <v>3.7268910725595541</v>
      </c>
    </row>
    <row r="224" spans="6:9" x14ac:dyDescent="0.3">
      <c r="F224" s="13" t="s">
        <v>10</v>
      </c>
      <c r="G224" s="13">
        <v>95.329544416789162</v>
      </c>
      <c r="H224" s="13">
        <v>997.90473799721678</v>
      </c>
      <c r="I224" s="14">
        <v>1.2512401729823219</v>
      </c>
    </row>
    <row r="225" spans="6:9" x14ac:dyDescent="0.3">
      <c r="F225" s="15" t="s">
        <v>10</v>
      </c>
      <c r="G225" s="15">
        <v>94.122765061506769</v>
      </c>
      <c r="H225" s="15">
        <v>999.17216449472335</v>
      </c>
      <c r="I225" s="16">
        <v>3.8694537654614969</v>
      </c>
    </row>
    <row r="226" spans="6:9" x14ac:dyDescent="0.3">
      <c r="F226" s="13" t="s">
        <v>10</v>
      </c>
      <c r="G226" s="13">
        <v>90.909028108714239</v>
      </c>
      <c r="H226" s="13">
        <v>1003.343945636086</v>
      </c>
      <c r="I226" s="14">
        <v>0.69688073532874584</v>
      </c>
    </row>
    <row r="227" spans="6:9" x14ac:dyDescent="0.3">
      <c r="F227" s="15" t="s">
        <v>10</v>
      </c>
      <c r="G227" s="15">
        <v>92.179249812153799</v>
      </c>
      <c r="H227" s="15">
        <v>1001.650131883642</v>
      </c>
      <c r="I227" s="16">
        <v>-0.27567630663843801</v>
      </c>
    </row>
    <row r="228" spans="6:9" x14ac:dyDescent="0.3">
      <c r="F228" s="13" t="s">
        <v>10</v>
      </c>
      <c r="G228" s="13">
        <v>89.886210608959786</v>
      </c>
      <c r="H228" s="13">
        <v>1003.7100274002451</v>
      </c>
      <c r="I228" s="14">
        <v>0.39494227462048181</v>
      </c>
    </row>
    <row r="229" spans="6:9" x14ac:dyDescent="0.3">
      <c r="F229" s="15" t="s">
        <v>10</v>
      </c>
      <c r="G229" s="15">
        <v>89.84834551527797</v>
      </c>
      <c r="H229" s="15">
        <v>1000.4172935714849</v>
      </c>
      <c r="I229" s="16">
        <v>-4.0578504727251872</v>
      </c>
    </row>
    <row r="230" spans="6:9" x14ac:dyDescent="0.3">
      <c r="F230" s="13" t="s">
        <v>10</v>
      </c>
      <c r="G230" s="13">
        <v>94.653951496930759</v>
      </c>
      <c r="H230" s="13">
        <v>1001.230825289471</v>
      </c>
      <c r="I230" s="14">
        <v>-2.008845781242345</v>
      </c>
    </row>
    <row r="231" spans="6:9" x14ac:dyDescent="0.3">
      <c r="F231" s="15" t="s">
        <v>10</v>
      </c>
      <c r="G231" s="15">
        <v>88.953222264189364</v>
      </c>
      <c r="H231" s="15">
        <v>998.32462926295557</v>
      </c>
      <c r="I231" s="16">
        <v>-2.8261039390753511</v>
      </c>
    </row>
    <row r="232" spans="6:9" x14ac:dyDescent="0.3">
      <c r="F232" s="13" t="s">
        <v>10</v>
      </c>
      <c r="G232" s="13">
        <v>97.86588189647739</v>
      </c>
      <c r="H232" s="13">
        <v>1001.8161120067909</v>
      </c>
      <c r="I232" s="14">
        <v>4.6629668159260458</v>
      </c>
    </row>
    <row r="233" spans="6:9" x14ac:dyDescent="0.3">
      <c r="F233" s="15" t="s">
        <v>10</v>
      </c>
      <c r="G233" s="15">
        <v>91.729041218102452</v>
      </c>
      <c r="H233" s="15">
        <v>998.48099937343227</v>
      </c>
      <c r="I233" s="16">
        <v>-0.29199027408840039</v>
      </c>
    </row>
    <row r="234" spans="6:9" x14ac:dyDescent="0.3">
      <c r="F234" s="13" t="s">
        <v>10</v>
      </c>
      <c r="G234" s="13">
        <v>92.643616479887655</v>
      </c>
      <c r="H234" s="13">
        <v>995.73830348591275</v>
      </c>
      <c r="I234" s="14">
        <v>3.86837955837054</v>
      </c>
    </row>
    <row r="235" spans="6:9" x14ac:dyDescent="0.3">
      <c r="F235" s="15" t="s">
        <v>10</v>
      </c>
      <c r="G235" s="15">
        <v>89.784416885781283</v>
      </c>
      <c r="H235" s="15">
        <v>1000.383978897052</v>
      </c>
      <c r="I235" s="16">
        <v>6.0494718050758749</v>
      </c>
    </row>
    <row r="236" spans="6:9" x14ac:dyDescent="0.3">
      <c r="F236" s="13" t="s">
        <v>10</v>
      </c>
      <c r="G236" s="13">
        <v>90.276833930710197</v>
      </c>
      <c r="H236" s="13">
        <v>1005.837553653194</v>
      </c>
      <c r="I236" s="14">
        <v>0.92467557267017353</v>
      </c>
    </row>
    <row r="237" spans="6:9" x14ac:dyDescent="0.3">
      <c r="F237" s="15" t="s">
        <v>10</v>
      </c>
      <c r="G237" s="15">
        <v>88.048951603084276</v>
      </c>
      <c r="H237" s="15">
        <v>1002.402743018719</v>
      </c>
      <c r="I237" s="16">
        <v>2.351636719057054</v>
      </c>
    </row>
    <row r="238" spans="6:9" x14ac:dyDescent="0.3">
      <c r="F238" s="13" t="s">
        <v>10</v>
      </c>
      <c r="G238" s="13">
        <v>91.451223834881816</v>
      </c>
      <c r="H238" s="13">
        <v>1003.4957601698389</v>
      </c>
      <c r="I238" s="14">
        <v>-3.7532025581882351</v>
      </c>
    </row>
    <row r="239" spans="6:9" x14ac:dyDescent="0.3">
      <c r="F239" s="15" t="s">
        <v>10</v>
      </c>
      <c r="G239" s="15">
        <v>93.25694721477339</v>
      </c>
      <c r="H239" s="15">
        <v>1001.076567169279</v>
      </c>
      <c r="I239" s="16">
        <v>-0.9560093325594079</v>
      </c>
    </row>
    <row r="240" spans="6:9" x14ac:dyDescent="0.3">
      <c r="F240" s="13" t="s">
        <v>10</v>
      </c>
      <c r="G240" s="13">
        <v>92.972913032484144</v>
      </c>
      <c r="H240" s="13">
        <v>998.1743284650513</v>
      </c>
      <c r="I240" s="14">
        <v>1.6686445481485159</v>
      </c>
    </row>
    <row r="241" spans="6:9" x14ac:dyDescent="0.3">
      <c r="F241" s="15" t="s">
        <v>10</v>
      </c>
      <c r="G241" s="15">
        <v>89.655390538835746</v>
      </c>
      <c r="H241" s="15">
        <v>999.39327743466913</v>
      </c>
      <c r="I241" s="16">
        <v>2.3972607100084571</v>
      </c>
    </row>
    <row r="242" spans="6:9" x14ac:dyDescent="0.3">
      <c r="F242" s="13" t="s">
        <v>10</v>
      </c>
      <c r="G242" s="13">
        <v>89.634134087437999</v>
      </c>
      <c r="H242" s="13">
        <v>999.1802556795642</v>
      </c>
      <c r="I242" s="14">
        <v>-0.7781943518966461</v>
      </c>
    </row>
    <row r="243" spans="6:9" x14ac:dyDescent="0.3">
      <c r="F243" s="15" t="s">
        <v>10</v>
      </c>
      <c r="G243" s="15">
        <v>90.493403844971411</v>
      </c>
      <c r="H243" s="15">
        <v>998.59390066065373</v>
      </c>
      <c r="I243" s="16">
        <v>9.554576997680396</v>
      </c>
    </row>
    <row r="244" spans="6:9" x14ac:dyDescent="0.3">
      <c r="F244" s="13" t="s">
        <v>10</v>
      </c>
      <c r="G244" s="13">
        <v>96.488182009539045</v>
      </c>
      <c r="H244" s="13">
        <v>1002.112501851789</v>
      </c>
      <c r="I244" s="14">
        <v>0.12482958272283361</v>
      </c>
    </row>
    <row r="245" spans="6:9" x14ac:dyDescent="0.3">
      <c r="F245" s="15" t="s">
        <v>10</v>
      </c>
      <c r="G245" s="15">
        <v>88.588089138002772</v>
      </c>
      <c r="H245" s="15">
        <v>996.40790949290374</v>
      </c>
      <c r="I245" s="16">
        <v>1.6927306698901139</v>
      </c>
    </row>
    <row r="246" spans="6:9" x14ac:dyDescent="0.3">
      <c r="F246" s="13" t="s">
        <v>10</v>
      </c>
      <c r="G246" s="13">
        <v>91.462845216859407</v>
      </c>
      <c r="H246" s="13">
        <v>1002.599098396338</v>
      </c>
      <c r="I246" s="14">
        <v>3.4493756014605541</v>
      </c>
    </row>
    <row r="247" spans="6:9" x14ac:dyDescent="0.3">
      <c r="F247" s="15" t="s">
        <v>10</v>
      </c>
      <c r="G247" s="15">
        <v>97.707085465036783</v>
      </c>
      <c r="H247" s="15">
        <v>1002.592457458678</v>
      </c>
      <c r="I247" s="16">
        <v>1.4219440956780141</v>
      </c>
    </row>
    <row r="248" spans="6:9" x14ac:dyDescent="0.3">
      <c r="F248" s="13" t="s">
        <v>10</v>
      </c>
      <c r="G248" s="13">
        <v>91.69707534401357</v>
      </c>
      <c r="H248" s="13">
        <v>996.40413292279379</v>
      </c>
      <c r="I248" s="14">
        <v>-0.43070216108134218</v>
      </c>
    </row>
    <row r="249" spans="6:9" x14ac:dyDescent="0.3">
      <c r="F249" s="15" t="s">
        <v>10</v>
      </c>
      <c r="G249" s="15">
        <v>87.920477888535814</v>
      </c>
      <c r="H249" s="15">
        <v>1001.918475993702</v>
      </c>
      <c r="I249" s="16">
        <v>4.6359169918899159</v>
      </c>
    </row>
    <row r="250" spans="6:9" x14ac:dyDescent="0.3">
      <c r="F250" s="13" t="s">
        <v>10</v>
      </c>
      <c r="G250" s="13">
        <v>90.005691694177813</v>
      </c>
      <c r="H250" s="13">
        <v>1007.290679957033</v>
      </c>
      <c r="I250" s="14">
        <v>6.3466359696216026</v>
      </c>
    </row>
    <row r="251" spans="6:9" x14ac:dyDescent="0.3">
      <c r="F251" s="15" t="s">
        <v>10</v>
      </c>
      <c r="G251" s="15">
        <v>93.45637993671464</v>
      </c>
      <c r="H251" s="15">
        <v>998.32835355417512</v>
      </c>
      <c r="I251" s="16">
        <v>1.410918086850494</v>
      </c>
    </row>
    <row r="252" spans="6:9" x14ac:dyDescent="0.3">
      <c r="F252" s="13" t="s">
        <v>10</v>
      </c>
      <c r="G252" s="13">
        <v>90.873191384990676</v>
      </c>
      <c r="H252" s="13">
        <v>1002.5347127242241</v>
      </c>
      <c r="I252" s="14">
        <v>3.186802036209198</v>
      </c>
    </row>
    <row r="253" spans="6:9" x14ac:dyDescent="0.3">
      <c r="F253" s="15" t="s">
        <v>10</v>
      </c>
      <c r="G253" s="15">
        <v>90.314370909350657</v>
      </c>
      <c r="H253" s="15">
        <v>997.65339446314181</v>
      </c>
      <c r="I253" s="16">
        <v>1.2077625044921101</v>
      </c>
    </row>
    <row r="254" spans="6:9" x14ac:dyDescent="0.3">
      <c r="F254" s="13" t="s">
        <v>10</v>
      </c>
      <c r="G254" s="13">
        <v>90.968248297614622</v>
      </c>
      <c r="H254" s="13">
        <v>1003.332134254608</v>
      </c>
      <c r="I254" s="14">
        <v>4.5493656531064852</v>
      </c>
    </row>
    <row r="255" spans="6:9" x14ac:dyDescent="0.3">
      <c r="F255" s="15" t="s">
        <v>10</v>
      </c>
      <c r="G255" s="15">
        <v>92.27148994141767</v>
      </c>
      <c r="H255" s="15">
        <v>1000.74947415978</v>
      </c>
      <c r="I255" s="16">
        <v>-1.968502182779559</v>
      </c>
    </row>
    <row r="256" spans="6:9" x14ac:dyDescent="0.3">
      <c r="F256" s="13" t="s">
        <v>10</v>
      </c>
      <c r="G256" s="13">
        <v>96.795526313437477</v>
      </c>
      <c r="H256" s="13">
        <v>1004.95574617487</v>
      </c>
      <c r="I256" s="14">
        <v>8.4625806719834262</v>
      </c>
    </row>
    <row r="257" spans="6:9" x14ac:dyDescent="0.3">
      <c r="F257" s="15" t="s">
        <v>10</v>
      </c>
      <c r="G257" s="15">
        <v>91.734304663583345</v>
      </c>
      <c r="H257" s="15">
        <v>995.62308781438924</v>
      </c>
      <c r="I257" s="16">
        <v>-0.31059374336501261</v>
      </c>
    </row>
    <row r="258" spans="6:9" x14ac:dyDescent="0.3">
      <c r="F258" s="13" t="s">
        <v>10</v>
      </c>
      <c r="G258" s="13">
        <v>95.242398488454555</v>
      </c>
      <c r="H258" s="13">
        <v>999.84610634162391</v>
      </c>
      <c r="I258" s="14">
        <v>-2.8765482433142768</v>
      </c>
    </row>
    <row r="259" spans="6:9" x14ac:dyDescent="0.3">
      <c r="F259" s="15" t="s">
        <v>10</v>
      </c>
      <c r="G259" s="15">
        <v>93.892262346951696</v>
      </c>
      <c r="H259" s="15">
        <v>998.41922447162324</v>
      </c>
      <c r="I259" s="16">
        <v>0.44724651842079099</v>
      </c>
    </row>
    <row r="260" spans="6:9" x14ac:dyDescent="0.3">
      <c r="F260" s="13" t="s">
        <v>10</v>
      </c>
      <c r="G260" s="13">
        <v>91.659080313481581</v>
      </c>
      <c r="H260" s="13">
        <v>999.40820539277115</v>
      </c>
      <c r="I260" s="14">
        <v>1.940125452435006</v>
      </c>
    </row>
    <row r="261" spans="6:9" x14ac:dyDescent="0.3">
      <c r="F261" s="15" t="s">
        <v>10</v>
      </c>
      <c r="G261" s="15">
        <v>87.401293991328203</v>
      </c>
      <c r="H261" s="15">
        <v>998.11126377194194</v>
      </c>
      <c r="I261" s="16">
        <v>6.3708636230406874</v>
      </c>
    </row>
    <row r="262" spans="6:9" x14ac:dyDescent="0.3">
      <c r="F262" s="13" t="s">
        <v>10</v>
      </c>
      <c r="G262" s="13">
        <v>90.436648047342445</v>
      </c>
      <c r="H262" s="13">
        <v>997.49846925839495</v>
      </c>
      <c r="I262" s="14">
        <v>4.2336290303139599</v>
      </c>
    </row>
    <row r="263" spans="6:9" x14ac:dyDescent="0.3">
      <c r="F263" s="15" t="s">
        <v>10</v>
      </c>
      <c r="G263" s="15">
        <v>90.530388640584576</v>
      </c>
      <c r="H263" s="15">
        <v>1001.736167123849</v>
      </c>
      <c r="I263" s="16">
        <v>1.92737529613736</v>
      </c>
    </row>
    <row r="264" spans="6:9" x14ac:dyDescent="0.3">
      <c r="F264" s="13" t="s">
        <v>10</v>
      </c>
      <c r="G264" s="13">
        <v>92.141463298284577</v>
      </c>
      <c r="H264" s="13">
        <v>996.73725785776924</v>
      </c>
      <c r="I264" s="14">
        <v>-2.6684505719644802</v>
      </c>
    </row>
    <row r="265" spans="6:9" x14ac:dyDescent="0.3">
      <c r="F265" s="15" t="s">
        <v>10</v>
      </c>
      <c r="G265" s="15">
        <v>95.900596033000468</v>
      </c>
      <c r="H265" s="15">
        <v>1004.4520927946691</v>
      </c>
      <c r="I265" s="16">
        <v>-1.0981132340163411</v>
      </c>
    </row>
    <row r="266" spans="6:9" x14ac:dyDescent="0.3">
      <c r="F266" s="13" t="s">
        <v>10</v>
      </c>
      <c r="G266" s="13">
        <v>98.879236921493288</v>
      </c>
      <c r="H266" s="13">
        <v>996.44138024405879</v>
      </c>
      <c r="I266" s="14">
        <v>1.0101452033121181</v>
      </c>
    </row>
    <row r="267" spans="6:9" x14ac:dyDescent="0.3">
      <c r="F267" s="15" t="s">
        <v>10</v>
      </c>
      <c r="G267" s="15">
        <v>96.642743176951313</v>
      </c>
      <c r="H267" s="15">
        <v>1000.303237454186</v>
      </c>
      <c r="I267" s="16">
        <v>9.1590783403817788</v>
      </c>
    </row>
    <row r="268" spans="6:9" x14ac:dyDescent="0.3">
      <c r="F268" s="13" t="s">
        <v>10</v>
      </c>
      <c r="G268" s="13">
        <v>91.60054710701317</v>
      </c>
      <c r="H268" s="13">
        <v>1001.598967860479</v>
      </c>
      <c r="I268" s="14">
        <v>-4.0806827226552436</v>
      </c>
    </row>
    <row r="269" spans="6:9" x14ac:dyDescent="0.3">
      <c r="F269" s="15" t="s">
        <v>10</v>
      </c>
      <c r="G269" s="15">
        <v>86.730417813327094</v>
      </c>
      <c r="H269" s="15">
        <v>1001.7602060172781</v>
      </c>
      <c r="I269" s="16">
        <v>4.8931639555380633</v>
      </c>
    </row>
    <row r="270" spans="6:9" x14ac:dyDescent="0.3">
      <c r="F270" s="13" t="s">
        <v>10</v>
      </c>
      <c r="G270" s="13">
        <v>90.833660407784777</v>
      </c>
      <c r="H270" s="13">
        <v>999.09476000840084</v>
      </c>
      <c r="I270" s="14">
        <v>-8.1702771701762877E-2</v>
      </c>
    </row>
    <row r="271" spans="6:9" x14ac:dyDescent="0.3">
      <c r="F271" s="15" t="s">
        <v>10</v>
      </c>
      <c r="G271" s="15">
        <v>92.267621669219878</v>
      </c>
      <c r="H271" s="15">
        <v>1000.2385059859849</v>
      </c>
      <c r="I271" s="16">
        <v>6.497972699962256</v>
      </c>
    </row>
    <row r="272" spans="6:9" x14ac:dyDescent="0.3">
      <c r="F272" s="13" t="s">
        <v>10</v>
      </c>
      <c r="G272" s="13">
        <v>94.535039012202304</v>
      </c>
      <c r="H272" s="13">
        <v>1002.883792455429</v>
      </c>
      <c r="I272" s="14">
        <v>-1.9176019199202139</v>
      </c>
    </row>
    <row r="273" spans="6:9" x14ac:dyDescent="0.3">
      <c r="F273" s="15" t="s">
        <v>10</v>
      </c>
      <c r="G273" s="15">
        <v>94.887583905452814</v>
      </c>
      <c r="H273" s="15">
        <v>995.63060224877074</v>
      </c>
      <c r="I273" s="16">
        <v>1.9308697039882421</v>
      </c>
    </row>
    <row r="274" spans="6:9" x14ac:dyDescent="0.3">
      <c r="F274" s="13" t="s">
        <v>10</v>
      </c>
      <c r="G274" s="13">
        <v>94.05292828824939</v>
      </c>
      <c r="H274" s="13">
        <v>997.65478086540372</v>
      </c>
      <c r="I274" s="14">
        <v>-1.798652825108253</v>
      </c>
    </row>
    <row r="275" spans="6:9" x14ac:dyDescent="0.3">
      <c r="F275" s="15" t="s">
        <v>10</v>
      </c>
      <c r="G275" s="15">
        <v>87.814176950601592</v>
      </c>
      <c r="H275" s="15">
        <v>1000.96120694295</v>
      </c>
      <c r="I275" s="16">
        <v>4.2105492790850256</v>
      </c>
    </row>
    <row r="276" spans="6:9" x14ac:dyDescent="0.3">
      <c r="F276" s="13" t="s">
        <v>10</v>
      </c>
      <c r="G276" s="13">
        <v>94.548929136900071</v>
      </c>
      <c r="H276" s="13">
        <v>998.66565406498898</v>
      </c>
      <c r="I276" s="14">
        <v>5.9513384662142563</v>
      </c>
    </row>
    <row r="277" spans="6:9" x14ac:dyDescent="0.3">
      <c r="F277" s="15" t="s">
        <v>10</v>
      </c>
      <c r="G277" s="15">
        <v>90.660328350718331</v>
      </c>
      <c r="H277" s="15">
        <v>1004.110011981913</v>
      </c>
      <c r="I277" s="16">
        <v>7.3521630192034557</v>
      </c>
    </row>
    <row r="278" spans="6:9" x14ac:dyDescent="0.3">
      <c r="F278" s="13" t="s">
        <v>10</v>
      </c>
      <c r="G278" s="13">
        <v>92.524408100483768</v>
      </c>
      <c r="H278" s="13">
        <v>1002.019761590064</v>
      </c>
      <c r="I278" s="14">
        <v>3.8928019727685559</v>
      </c>
    </row>
    <row r="279" spans="6:9" x14ac:dyDescent="0.3">
      <c r="F279" s="15" t="s">
        <v>10</v>
      </c>
      <c r="G279" s="15">
        <v>92.223653531521208</v>
      </c>
      <c r="H279" s="15">
        <v>1000.216500257244</v>
      </c>
      <c r="I279" s="16">
        <v>7.0297987637334636</v>
      </c>
    </row>
    <row r="280" spans="6:9" x14ac:dyDescent="0.3">
      <c r="F280" s="13" t="s">
        <v>10</v>
      </c>
      <c r="G280" s="13">
        <v>93.28450029491151</v>
      </c>
      <c r="H280" s="13">
        <v>995.47672804739</v>
      </c>
      <c r="I280" s="14">
        <v>5.2392717259849393</v>
      </c>
    </row>
    <row r="281" spans="6:9" x14ac:dyDescent="0.3">
      <c r="F281" s="15" t="s">
        <v>10</v>
      </c>
      <c r="G281" s="15">
        <v>92.074024948478424</v>
      </c>
      <c r="H281" s="15">
        <v>1000.078300675979</v>
      </c>
      <c r="I281" s="16">
        <v>1.104375264527955</v>
      </c>
    </row>
    <row r="282" spans="6:9" x14ac:dyDescent="0.3">
      <c r="F282" s="13" t="s">
        <v>10</v>
      </c>
      <c r="G282" s="13">
        <v>86.997574707243018</v>
      </c>
      <c r="H282" s="13">
        <v>999.05075239540906</v>
      </c>
      <c r="I282" s="14">
        <v>2.9311117148540999</v>
      </c>
    </row>
    <row r="283" spans="6:9" x14ac:dyDescent="0.3">
      <c r="F283" s="15" t="s">
        <v>10</v>
      </c>
      <c r="G283" s="15">
        <v>94.209487894320333</v>
      </c>
      <c r="H283" s="15">
        <v>999.69296045943815</v>
      </c>
      <c r="I283" s="16">
        <v>-1.415982634427801</v>
      </c>
    </row>
    <row r="284" spans="6:9" x14ac:dyDescent="0.3">
      <c r="F284" s="13" t="s">
        <v>10</v>
      </c>
      <c r="G284" s="13">
        <v>93.158079705049033</v>
      </c>
      <c r="H284" s="13">
        <v>996.45532231883294</v>
      </c>
      <c r="I284" s="14">
        <v>0.94439349179701848</v>
      </c>
    </row>
    <row r="285" spans="6:9" x14ac:dyDescent="0.3">
      <c r="F285" s="15" t="s">
        <v>10</v>
      </c>
      <c r="G285" s="15">
        <v>91.203045124165328</v>
      </c>
      <c r="H285" s="15">
        <v>1001.49597413149</v>
      </c>
      <c r="I285" s="16">
        <v>5.1628911250464657</v>
      </c>
    </row>
    <row r="286" spans="6:9" x14ac:dyDescent="0.3">
      <c r="F286" s="13" t="s">
        <v>10</v>
      </c>
      <c r="G286" s="13">
        <v>92.354433533140039</v>
      </c>
      <c r="H286" s="13">
        <v>996.88313067907893</v>
      </c>
      <c r="I286" s="14">
        <v>3.1238524304470499</v>
      </c>
    </row>
    <row r="287" spans="6:9" x14ac:dyDescent="0.3">
      <c r="F287" s="15" t="s">
        <v>10</v>
      </c>
      <c r="G287" s="15">
        <v>92.402115936105389</v>
      </c>
      <c r="H287" s="15">
        <v>999.32133405567276</v>
      </c>
      <c r="I287" s="16">
        <v>2.8720719948759901</v>
      </c>
    </row>
    <row r="288" spans="6:9" x14ac:dyDescent="0.3">
      <c r="F288" s="13" t="s">
        <v>10</v>
      </c>
      <c r="G288" s="13">
        <v>92.663058405683003</v>
      </c>
      <c r="H288" s="13">
        <v>1001.144277488354</v>
      </c>
      <c r="I288" s="14">
        <v>-1.614393119061615</v>
      </c>
    </row>
    <row r="289" spans="6:9" x14ac:dyDescent="0.3">
      <c r="F289" s="15" t="s">
        <v>10</v>
      </c>
      <c r="G289" s="15">
        <v>96.922538497932464</v>
      </c>
      <c r="H289" s="15">
        <v>997.6494526329609</v>
      </c>
      <c r="I289" s="16">
        <v>-0.31353969100235018</v>
      </c>
    </row>
    <row r="290" spans="6:9" x14ac:dyDescent="0.3">
      <c r="F290" s="13" t="s">
        <v>10</v>
      </c>
      <c r="G290" s="13">
        <v>91.342848863199578</v>
      </c>
      <c r="H290" s="13">
        <v>1001.74897421704</v>
      </c>
      <c r="I290" s="14">
        <v>-0.79381804126070632</v>
      </c>
    </row>
    <row r="291" spans="6:9" x14ac:dyDescent="0.3">
      <c r="F291" s="15" t="s">
        <v>10</v>
      </c>
      <c r="G291" s="15">
        <v>92.504196151653971</v>
      </c>
      <c r="H291" s="15">
        <v>996.05046879504494</v>
      </c>
      <c r="I291" s="16">
        <v>2.6858876100404969</v>
      </c>
    </row>
    <row r="292" spans="6:9" x14ac:dyDescent="0.3">
      <c r="F292" s="13" t="s">
        <v>10</v>
      </c>
      <c r="G292" s="13">
        <v>95.505151619207282</v>
      </c>
      <c r="H292" s="13">
        <v>991.57067596311833</v>
      </c>
      <c r="I292" s="14">
        <v>-1.471522891399677</v>
      </c>
    </row>
    <row r="293" spans="6:9" x14ac:dyDescent="0.3">
      <c r="F293" s="15" t="s">
        <v>10</v>
      </c>
      <c r="G293" s="15">
        <v>95.162543070130752</v>
      </c>
      <c r="H293" s="15">
        <v>1001.394903972358</v>
      </c>
      <c r="I293" s="16">
        <v>3.1861241702971559</v>
      </c>
    </row>
    <row r="294" spans="6:9" x14ac:dyDescent="0.3">
      <c r="F294" s="13" t="s">
        <v>10</v>
      </c>
      <c r="G294" s="13">
        <v>95.435789331141066</v>
      </c>
      <c r="H294" s="13">
        <v>1002.521619480883</v>
      </c>
      <c r="I294" s="14">
        <v>-1.8492492358006261</v>
      </c>
    </row>
    <row r="295" spans="6:9" x14ac:dyDescent="0.3">
      <c r="F295" s="15" t="s">
        <v>10</v>
      </c>
      <c r="G295" s="15">
        <v>90.267595996821328</v>
      </c>
      <c r="H295" s="15">
        <v>999.14246372922582</v>
      </c>
      <c r="I295" s="16">
        <v>6.9855913744060931</v>
      </c>
    </row>
    <row r="296" spans="6:9" x14ac:dyDescent="0.3">
      <c r="F296" s="13" t="s">
        <v>10</v>
      </c>
      <c r="G296" s="13">
        <v>98.007448190878492</v>
      </c>
      <c r="H296" s="13">
        <v>1001.512378763775</v>
      </c>
      <c r="I296" s="14">
        <v>2.8817740484343122</v>
      </c>
    </row>
    <row r="297" spans="6:9" x14ac:dyDescent="0.3">
      <c r="F297" s="15" t="s">
        <v>10</v>
      </c>
      <c r="G297" s="15">
        <v>92.200102612790545</v>
      </c>
      <c r="H297" s="15">
        <v>996.53225042474901</v>
      </c>
      <c r="I297" s="16">
        <v>-0.60301083675980927</v>
      </c>
    </row>
    <row r="298" spans="6:9" x14ac:dyDescent="0.3">
      <c r="F298" s="13" t="s">
        <v>10</v>
      </c>
      <c r="G298" s="13">
        <v>97.600555534120588</v>
      </c>
      <c r="H298" s="13">
        <v>999.61855417952302</v>
      </c>
      <c r="I298" s="14">
        <v>2.2231377975036701</v>
      </c>
    </row>
    <row r="299" spans="6:9" x14ac:dyDescent="0.3">
      <c r="F299" s="15" t="s">
        <v>10</v>
      </c>
      <c r="G299" s="15">
        <v>87.947291941907864</v>
      </c>
      <c r="H299" s="15">
        <v>994.1754448718782</v>
      </c>
      <c r="I299" s="16">
        <v>0.44264040231613139</v>
      </c>
    </row>
    <row r="300" spans="6:9" x14ac:dyDescent="0.3">
      <c r="F300" s="13" t="s">
        <v>10</v>
      </c>
      <c r="G300" s="13">
        <v>92.062950759062716</v>
      </c>
      <c r="H300" s="13">
        <v>1003.543542674316</v>
      </c>
      <c r="I300" s="14">
        <v>2.6134438792789711</v>
      </c>
    </row>
    <row r="301" spans="6:9" x14ac:dyDescent="0.3">
      <c r="F301" s="17" t="s">
        <v>10</v>
      </c>
      <c r="G301" s="17">
        <v>95.749743712907645</v>
      </c>
      <c r="H301" s="17">
        <v>1005.579732584629</v>
      </c>
      <c r="I301" s="18">
        <v>2.2305981562809012</v>
      </c>
    </row>
  </sheetData>
  <pageMargins left="0.7" right="0.7" top="0.75" bottom="0.75" header="0.3" footer="0.3"/>
  <drawing r:id="rId1"/>
  <tableParts count="3">
    <tablePart r:id="rId2"/>
    <tablePart r:id="rId3"/>
    <tablePart r:id="rId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720B3-8539-449B-A437-29D481105B45}">
  <dimension ref="A1:R21"/>
  <sheetViews>
    <sheetView tabSelected="1" topLeftCell="K1" zoomScale="62" workbookViewId="0">
      <selection activeCell="V21" sqref="V21"/>
    </sheetView>
  </sheetViews>
  <sheetFormatPr defaultRowHeight="14.4" x14ac:dyDescent="0.3"/>
  <cols>
    <col min="1" max="1" width="11.77734375" customWidth="1"/>
    <col min="2" max="2" width="18.109375" customWidth="1"/>
    <col min="3" max="3" width="19.33203125" customWidth="1"/>
    <col min="14" max="14" width="11.109375" customWidth="1"/>
    <col min="15" max="15" width="9.77734375" customWidth="1"/>
    <col min="16" max="16" width="10.44140625" customWidth="1"/>
  </cols>
  <sheetData>
    <row r="1" spans="1:18" ht="24" thickBot="1" x14ac:dyDescent="0.35">
      <c r="A1" s="22" t="s">
        <v>0</v>
      </c>
      <c r="B1" s="9" t="s">
        <v>1</v>
      </c>
      <c r="C1" s="9" t="s">
        <v>2</v>
      </c>
      <c r="E1" s="19" t="s">
        <v>25</v>
      </c>
      <c r="N1" t="s">
        <v>38</v>
      </c>
      <c r="O1" t="s">
        <v>39</v>
      </c>
      <c r="P1" t="s">
        <v>40</v>
      </c>
      <c r="Q1" s="27" t="s">
        <v>31</v>
      </c>
    </row>
    <row r="2" spans="1:18" ht="15" thickTop="1" x14ac:dyDescent="0.3">
      <c r="A2" s="23">
        <v>1</v>
      </c>
      <c r="B2" t="str" cm="1">
        <f t="array" ref="B2">VLOOKUP(A2,'Main Data'!$A$2:$H$301,{2.3},FALSE)</f>
        <v>Fast</v>
      </c>
      <c r="C2" cm="1">
        <f t="array" ref="C2">VLOOKUP(B2,'Main Data'!$B$2:$I$301,{2.3},FALSE)</f>
        <v>83.318573060343368</v>
      </c>
      <c r="N2">
        <v>23</v>
      </c>
      <c r="O2">
        <f>_xlfn.XLOOKUP(N2,Table1[Battery_ID],Table1[Capacity_Retention],"Tidak Ada")</f>
        <v>81.921986655078285</v>
      </c>
      <c r="P2">
        <f>_xlfn.XLOOKUP(N2,Table1[Battery_ID],Table1[Cycle_Life],"Tidak Ada")</f>
        <v>495.98367713829509</v>
      </c>
      <c r="R2" s="20" t="s">
        <v>32</v>
      </c>
    </row>
    <row r="3" spans="1:18" ht="18" x14ac:dyDescent="0.3">
      <c r="A3" s="24">
        <v>10</v>
      </c>
      <c r="B3" t="str" cm="1">
        <f t="array" ref="B3">VLOOKUP(A3,'Main Data'!$A$2:$H$301,{2.3},FALSE)</f>
        <v>Fast</v>
      </c>
      <c r="C3" cm="1">
        <f t="array" ref="C3">VLOOKUP(B3,'Main Data'!$B$2:$I$301,{2.3},FALSE)</f>
        <v>83.318573060343368</v>
      </c>
      <c r="E3" s="7" t="s">
        <v>26</v>
      </c>
      <c r="N3">
        <v>118</v>
      </c>
      <c r="O3">
        <f>_xlfn.XLOOKUP(N3,Table1[Battery_ID],Table1[Capacity_Retention],"Tidak Ada")</f>
        <v>88.077881975083869</v>
      </c>
      <c r="P3">
        <f>_xlfn.XLOOKUP(N3,Table1[Battery_ID],Table1[Cycle_Life],"Tidak Ada")</f>
        <v>801.29085408907997</v>
      </c>
      <c r="R3" s="20"/>
    </row>
    <row r="4" spans="1:18" x14ac:dyDescent="0.3">
      <c r="A4" s="23">
        <v>167</v>
      </c>
      <c r="B4" t="str" cm="1">
        <f t="array" ref="B4">VLOOKUP(A4,'Main Data'!$A$2:$H$301,{2.3},FALSE)</f>
        <v>Normal</v>
      </c>
      <c r="C4" cm="1">
        <f t="array" ref="C4">VLOOKUP(B4,'Main Data'!$B$2:$I$301,{2.3},FALSE)</f>
        <v>87.868780308902103</v>
      </c>
      <c r="N4">
        <v>333</v>
      </c>
      <c r="O4" t="str">
        <f>_xlfn.XLOOKUP(N4,Table1[Battery_ID],Table1[Capacity_Retention],"Tidak Ada")</f>
        <v>Tidak Ada</v>
      </c>
      <c r="P4" t="str">
        <f>_xlfn.XLOOKUP(N4,Table1[Battery_ID],Table1[Cycle_Life],"Tidak Ada")</f>
        <v>Tidak Ada</v>
      </c>
      <c r="R4" s="20" t="s">
        <v>33</v>
      </c>
    </row>
    <row r="5" spans="1:18" x14ac:dyDescent="0.3">
      <c r="A5" s="23">
        <v>200</v>
      </c>
      <c r="B5" t="str" cm="1">
        <f t="array" ref="B5">VLOOKUP(A5,'Main Data'!$A$2:$H$301,{2.3},FALSE)</f>
        <v>Normal</v>
      </c>
      <c r="C5" cm="1">
        <f t="array" ref="C5">VLOOKUP(B5,'Main Data'!$B$2:$I$301,{2.3},FALSE)</f>
        <v>87.868780308902103</v>
      </c>
      <c r="E5" s="8"/>
      <c r="N5">
        <v>290</v>
      </c>
      <c r="O5">
        <f>_xlfn.XLOOKUP(N5,Table1[Battery_ID],Table1[Capacity_Retention],"Tidak Ada")</f>
        <v>92.504196151653971</v>
      </c>
      <c r="P5">
        <f>_xlfn.XLOOKUP(N5,Table1[Battery_ID],Table1[Cycle_Life],"Tidak Ada")</f>
        <v>996.05046879504494</v>
      </c>
    </row>
    <row r="6" spans="1:18" x14ac:dyDescent="0.3">
      <c r="A6" s="24">
        <v>300</v>
      </c>
      <c r="B6" t="str" cm="1">
        <f t="array" ref="B6">VLOOKUP(A6,'Main Data'!$A$2:$H$301,{2.3},FALSE)</f>
        <v>Slow</v>
      </c>
      <c r="C6" cm="1">
        <f t="array" ref="C6">VLOOKUP(B6,'Main Data'!$B$2:$I$301,{2.3},FALSE)</f>
        <v>98.596431046651162</v>
      </c>
      <c r="E6" s="20"/>
      <c r="N6">
        <v>1</v>
      </c>
      <c r="O6">
        <f>_xlfn.XLOOKUP(N6,Table1[Battery_ID],Table1[Capacity_Retention],"Tidak Ada")</f>
        <v>83.318573060343368</v>
      </c>
      <c r="P6">
        <f>_xlfn.XLOOKUP(N6,Table1[Battery_ID],Table1[Cycle_Life],"Tidak Ada")</f>
        <v>497.85427343833157</v>
      </c>
    </row>
    <row r="7" spans="1:18" x14ac:dyDescent="0.3">
      <c r="A7" s="25">
        <v>234</v>
      </c>
      <c r="B7" t="str" cm="1">
        <f t="array" ref="B7">VLOOKUP(A7,'Main Data'!$A$2:$H$301,{2.3},FALSE)</f>
        <v>Slow</v>
      </c>
      <c r="C7" cm="1">
        <f t="array" ref="C7">VLOOKUP(B7,'Main Data'!$B$2:$I$301,{2.3},FALSE)</f>
        <v>98.596431046651162</v>
      </c>
      <c r="E7" s="20" t="s">
        <v>28</v>
      </c>
    </row>
    <row r="8" spans="1:18" x14ac:dyDescent="0.3">
      <c r="E8" s="20"/>
    </row>
    <row r="9" spans="1:18" x14ac:dyDescent="0.3">
      <c r="E9" s="20" t="s">
        <v>29</v>
      </c>
      <c r="N9" t="s">
        <v>34</v>
      </c>
      <c r="O9" t="s">
        <v>35</v>
      </c>
      <c r="P9" t="s">
        <v>36</v>
      </c>
      <c r="Q9" t="s">
        <v>37</v>
      </c>
    </row>
    <row r="10" spans="1:18" x14ac:dyDescent="0.3">
      <c r="E10" s="20"/>
      <c r="N10" s="4" t="s">
        <v>8</v>
      </c>
      <c r="O10" s="4">
        <v>83.318573060343368</v>
      </c>
      <c r="P10" s="4">
        <v>41.957657482015577</v>
      </c>
      <c r="Q10" cm="1">
        <f t="array" ref="Q10">_xlfn.XLOOKUP(1,
    (Table1[Charging_Method]=Table1421[[#This Row],[Charging Method]]) *
    (Table1[Capacity_Retention]=Table1421[[#This Row],[Capacity]]) *
    (Table1[Operating_Temperature]=Table1421[[#This Row],[Temprature]]),
    Table1[Cycle_Life])</f>
        <v>497.85427343833157</v>
      </c>
    </row>
    <row r="11" spans="1:18" x14ac:dyDescent="0.3">
      <c r="E11" s="20" t="s">
        <v>30</v>
      </c>
      <c r="N11" s="5" t="s">
        <v>8</v>
      </c>
      <c r="O11" s="5">
        <v>84.309467531550155</v>
      </c>
      <c r="P11" s="5">
        <v>42.626058363541588</v>
      </c>
      <c r="Q11" cm="1">
        <f t="array" ref="Q11">_xlfn.XLOOKUP(1,
    (Table1[Charging_Method]=Table1421[[#This Row],[Charging Method]]) *
    (Table1[Capacity_Retention]=Table1421[[#This Row],[Capacity]]) *
    (Table1[Operating_Temperature]=Table1421[[#This Row],[Temprature]]),
    Table1[Cycle_Life])</f>
        <v>497.74193309534678</v>
      </c>
    </row>
    <row r="12" spans="1:18" x14ac:dyDescent="0.3">
      <c r="E12" s="20"/>
      <c r="N12" s="4" t="s">
        <v>8</v>
      </c>
      <c r="O12" s="4">
        <v>89.676124942447373</v>
      </c>
      <c r="P12" s="4">
        <v>45.898781054218688</v>
      </c>
      <c r="Q12" cm="1">
        <f t="array" ref="Q12">_xlfn.XLOOKUP(1,
    (Table1[Charging_Method]=Table1421[[#This Row],[Charging Method]]) *
    (Table1[Capacity_Retention]=Table1421[[#This Row],[Capacity]]) *
    (Table1[Operating_Temperature]=Table1421[[#This Row],[Temprature]]),
    Table1[Cycle_Life])</f>
        <v>497.18438388917929</v>
      </c>
    </row>
    <row r="13" spans="1:18" x14ac:dyDescent="0.3">
      <c r="E13" s="20" t="s">
        <v>27</v>
      </c>
      <c r="N13" s="5" t="s">
        <v>8</v>
      </c>
      <c r="O13" s="5">
        <v>85.211525174273731</v>
      </c>
      <c r="P13" s="5">
        <v>49.917155726254677</v>
      </c>
      <c r="Q13" cm="1">
        <f t="array" ref="Q13">_xlfn.XLOOKUP(1,
    (Table1[Charging_Method]=Table1421[[#This Row],[Charging Method]]) *
    (Table1[Capacity_Retention]=Table1421[[#This Row],[Capacity]]) *
    (Table1[Operating_Temperature]=Table1421[[#This Row],[Temprature]]),
    Table1[Cycle_Life])</f>
        <v>496.84246016198381</v>
      </c>
    </row>
    <row r="14" spans="1:18" x14ac:dyDescent="0.3">
      <c r="N14" s="4" t="s">
        <v>9</v>
      </c>
      <c r="O14" s="4">
        <v>88.166502249958739</v>
      </c>
      <c r="P14" s="4">
        <v>36.452298163857563</v>
      </c>
      <c r="Q14" cm="1">
        <f t="array" ref="Q14">_xlfn.XLOOKUP(1,
    (Table1[Charging_Method]=Table1421[[#This Row],[Charging Method]]) *
    (Table1[Capacity_Retention]=Table1421[[#This Row],[Capacity]]) *
    (Table1[Operating_Temperature]=Table1421[[#This Row],[Temprature]]),
    Table1[Cycle_Life])</f>
        <v>801.09234406206519</v>
      </c>
    </row>
    <row r="15" spans="1:18" ht="23.4" x14ac:dyDescent="0.3">
      <c r="B15" s="26"/>
      <c r="E15" s="19"/>
      <c r="N15" s="5" t="s">
        <v>9</v>
      </c>
      <c r="O15" s="5">
        <v>86.443559746208066</v>
      </c>
      <c r="P15" s="5">
        <v>34.265348662722417</v>
      </c>
      <c r="Q15" cm="1">
        <f t="array" ref="Q15">_xlfn.XLOOKUP(1,
    (Table1[Charging_Method]=Table1421[[#This Row],[Charging Method]]) *
    (Table1[Capacity_Retention]=Table1421[[#This Row],[Capacity]]) *
    (Table1[Operating_Temperature]=Table1421[[#This Row],[Temprature]]),
    Table1[Cycle_Life])</f>
        <v>801.65647314265573</v>
      </c>
    </row>
    <row r="16" spans="1:18" x14ac:dyDescent="0.3">
      <c r="A16" s="3"/>
      <c r="B16" s="3"/>
      <c r="C16" s="3"/>
      <c r="E16" s="20"/>
      <c r="N16" s="4" t="s">
        <v>10</v>
      </c>
      <c r="O16" s="4">
        <v>98.596431046651162</v>
      </c>
      <c r="P16" s="4">
        <v>32.747976173820632</v>
      </c>
      <c r="Q16" cm="1">
        <f t="array" ref="Q16">_xlfn.XLOOKUP(1,
    (Table1[Charging_Method]=Table1421[[#This Row],[Charging Method]]) *
    (Table1[Capacity_Retention]=Table1421[[#This Row],[Capacity]]) *
    (Table1[Operating_Temperature]=Table1421[[#This Row],[Temprature]]),
    Table1[Cycle_Life])</f>
        <v>998.19432146204497</v>
      </c>
    </row>
    <row r="17" spans="1:17" x14ac:dyDescent="0.3">
      <c r="A17" s="3"/>
      <c r="B17" s="3"/>
      <c r="C17" s="3"/>
      <c r="E17" s="20"/>
      <c r="N17" s="5" t="s">
        <v>10</v>
      </c>
      <c r="O17" s="5">
        <v>95.937238929300534</v>
      </c>
      <c r="P17" s="5">
        <v>32.401867069529303</v>
      </c>
      <c r="Q17" cm="1">
        <f t="array" ref="Q17">_xlfn.XLOOKUP(1,
    (Table1[Charging_Method]=Table1421[[#This Row],[Charging Method]]) *
    (Table1[Capacity_Retention]=Table1421[[#This Row],[Capacity]]) *
    (Table1[Operating_Temperature]=Table1421[[#This Row],[Temprature]]),
    Table1[Cycle_Life])</f>
        <v>997.01890422670385</v>
      </c>
    </row>
    <row r="18" spans="1:17" x14ac:dyDescent="0.3">
      <c r="A18" s="3"/>
      <c r="B18" s="3"/>
      <c r="C18" s="3"/>
      <c r="E18" s="20"/>
      <c r="N18" s="4" t="s">
        <v>10</v>
      </c>
      <c r="O18" s="4">
        <v>91.204564829910936</v>
      </c>
      <c r="P18" s="4">
        <v>27.19029289759262</v>
      </c>
      <c r="Q18" cm="1">
        <f t="array" ref="Q18">_xlfn.XLOOKUP(1,
    (Table1[Charging_Method]=Table1421[[#This Row],[Charging Method]]) *
    (Table1[Capacity_Retention]=Table1421[[#This Row],[Capacity]]) *
    (Table1[Operating_Temperature]=Table1421[[#This Row],[Temprature]]),
    Table1[Cycle_Life])</f>
        <v>1003.080355168225</v>
      </c>
    </row>
    <row r="19" spans="1:17" x14ac:dyDescent="0.3">
      <c r="A19" s="3"/>
      <c r="B19" s="3"/>
      <c r="C19" s="3"/>
    </row>
    <row r="20" spans="1:17" x14ac:dyDescent="0.3">
      <c r="A20" s="3"/>
      <c r="B20" s="3"/>
      <c r="C20" s="3"/>
    </row>
    <row r="21" spans="1:17" x14ac:dyDescent="0.3">
      <c r="A21" s="3"/>
      <c r="B21" s="3"/>
      <c r="C21" s="3"/>
    </row>
  </sheetData>
  <pageMargins left="0.7" right="0.7" top="0.75" bottom="0.75" header="0.3" footer="0.3"/>
  <drawing r:id="rId1"/>
  <tableParts count="3">
    <tablePart r:id="rId2"/>
    <tablePart r:id="rId3"/>
    <tablePart r:id="rId4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E777D-A47A-4D30-97C0-C27B5C601F39}">
  <dimension ref="A1:L22"/>
  <sheetViews>
    <sheetView showGridLines="0" zoomScale="46" workbookViewId="0">
      <selection sqref="A1:D11"/>
    </sheetView>
  </sheetViews>
  <sheetFormatPr defaultRowHeight="14.4" x14ac:dyDescent="0.3"/>
  <cols>
    <col min="1" max="1" width="17.5546875" customWidth="1"/>
    <col min="2" max="2" width="11" customWidth="1"/>
    <col min="3" max="3" width="12.77734375" customWidth="1"/>
    <col min="4" max="4" width="10.33203125" customWidth="1"/>
  </cols>
  <sheetData>
    <row r="1" spans="1:12" x14ac:dyDescent="0.3">
      <c r="A1" t="s">
        <v>34</v>
      </c>
      <c r="B1" t="s">
        <v>35</v>
      </c>
      <c r="C1" t="s">
        <v>36</v>
      </c>
      <c r="D1" t="s">
        <v>37</v>
      </c>
      <c r="F1" t="s">
        <v>41</v>
      </c>
    </row>
    <row r="2" spans="1:12" x14ac:dyDescent="0.3">
      <c r="A2" s="4" t="s">
        <v>8</v>
      </c>
      <c r="B2" s="4">
        <v>83.318573060343368</v>
      </c>
      <c r="C2" s="4">
        <v>41.957657482015577</v>
      </c>
      <c r="D2" cm="1">
        <f t="array" ref="D2">_xlfn._xlws.FILTER(
    Table1[Cycle_Life],
    (Table1[Charging_Method]=Table14[[#This Row],[Charging Method]]) *
    (Table1[Capacity_Retention]=Table14[[#This Row],[Capacity]]) *
    (Table1[Operating_Temperature]=Table14[[#This Row],[Temprature]])
)</f>
        <v>497.85427343833157</v>
      </c>
      <c r="F2" t="s">
        <v>42</v>
      </c>
    </row>
    <row r="3" spans="1:12" x14ac:dyDescent="0.3">
      <c r="A3" s="5" t="s">
        <v>8</v>
      </c>
      <c r="B3" s="5">
        <v>84.309467531550155</v>
      </c>
      <c r="C3" s="5">
        <v>42.626058363541588</v>
      </c>
      <c r="D3" cm="1">
        <f t="array" ref="D3">_xlfn._xlws.FILTER(
    Table1[Cycle_Life],
    (Table1[Charging_Method]=Table14[[#This Row],[Charging Method]]) *
    (Table1[Capacity_Retention]=Table14[[#This Row],[Capacity]]) *
    (Table1[Operating_Temperature]=Table14[[#This Row],[Temprature]])
)</f>
        <v>497.74193309534678</v>
      </c>
      <c r="F3" s="28" t="s">
        <v>43</v>
      </c>
    </row>
    <row r="4" spans="1:12" x14ac:dyDescent="0.3">
      <c r="A4" s="4" t="s">
        <v>8</v>
      </c>
      <c r="B4" s="4">
        <v>89.676124942447373</v>
      </c>
      <c r="C4" s="4">
        <v>45.898781054218688</v>
      </c>
      <c r="D4" cm="1">
        <f t="array" ref="D4">_xlfn._xlws.FILTER(
    Table1[Cycle_Life],
    (Table1[Charging_Method]=Table14[[#This Row],[Charging Method]]) *
    (Table1[Capacity_Retention]=Table14[[#This Row],[Capacity]]) *
    (Table1[Operating_Temperature]=Table14[[#This Row],[Temprature]])
)</f>
        <v>497.18438388917929</v>
      </c>
      <c r="F4" s="28" t="s">
        <v>44</v>
      </c>
    </row>
    <row r="5" spans="1:12" x14ac:dyDescent="0.3">
      <c r="A5" s="5" t="s">
        <v>8</v>
      </c>
      <c r="B5" s="5">
        <v>85.211525174273731</v>
      </c>
      <c r="C5" s="5">
        <v>49.917155726254677</v>
      </c>
      <c r="D5" cm="1">
        <f t="array" ref="D5">_xlfn._xlws.FILTER(
    Table1[Cycle_Life],
    (Table1[Charging_Method]=Table14[[#This Row],[Charging Method]]) *
    (Table1[Capacity_Retention]=Table14[[#This Row],[Capacity]]) *
    (Table1[Operating_Temperature]=Table14[[#This Row],[Temprature]])
)</f>
        <v>496.84246016198381</v>
      </c>
      <c r="F5" s="28"/>
    </row>
    <row r="6" spans="1:12" x14ac:dyDescent="0.3">
      <c r="A6" s="4" t="s">
        <v>9</v>
      </c>
      <c r="B6" s="4">
        <v>88.166502249958739</v>
      </c>
      <c r="C6" s="4">
        <v>36.452298163857563</v>
      </c>
      <c r="D6" cm="1">
        <f t="array" ref="D6">_xlfn._xlws.FILTER(
    Table1[Cycle_Life],
    (Table1[Charging_Method]=Table14[[#This Row],[Charging Method]]) *
    (Table1[Capacity_Retention]=Table14[[#This Row],[Capacity]]) *
    (Table1[Operating_Temperature]=Table14[[#This Row],[Temprature]])
)</f>
        <v>801.09234406206519</v>
      </c>
    </row>
    <row r="7" spans="1:12" x14ac:dyDescent="0.3">
      <c r="A7" s="5" t="s">
        <v>9</v>
      </c>
      <c r="B7" s="5">
        <v>86.443559746208066</v>
      </c>
      <c r="C7" s="5">
        <v>34.265348662722417</v>
      </c>
      <c r="D7" cm="1">
        <f t="array" ref="D7">_xlfn._xlws.FILTER(
    Table1[Cycle_Life],
    (Table1[Charging_Method]=Table14[[#This Row],[Charging Method]]) *
    (Table1[Capacity_Retention]=Table14[[#This Row],[Capacity]]) *
    (Table1[Operating_Temperature]=Table14[[#This Row],[Temprature]])
)</f>
        <v>801.65647314265573</v>
      </c>
    </row>
    <row r="8" spans="1:12" x14ac:dyDescent="0.3">
      <c r="A8" s="4" t="s">
        <v>10</v>
      </c>
      <c r="B8" s="4">
        <v>98.596431046651162</v>
      </c>
      <c r="C8" s="4">
        <v>32.747976173820632</v>
      </c>
      <c r="D8" cm="1">
        <f t="array" ref="D8">_xlfn._xlws.FILTER(
    Table1[Cycle_Life],
    (Table1[Charging_Method]=Table14[[#This Row],[Charging Method]]) *
    (Table1[Capacity_Retention]=Table14[[#This Row],[Capacity]]) *
    (Table1[Operating_Temperature]=Table14[[#This Row],[Temprature]])
)</f>
        <v>998.19432146204497</v>
      </c>
    </row>
    <row r="9" spans="1:12" x14ac:dyDescent="0.3">
      <c r="A9" s="5" t="s">
        <v>10</v>
      </c>
      <c r="B9" s="5">
        <v>95.937238929300534</v>
      </c>
      <c r="C9" s="5">
        <v>32.401867069529303</v>
      </c>
      <c r="D9" cm="1">
        <f t="array" ref="D9">_xlfn._xlws.FILTER(
    Table1[Cycle_Life],
    (Table1[Charging_Method]=Table14[[#This Row],[Charging Method]]) *
    (Table1[Capacity_Retention]=Table14[[#This Row],[Capacity]]) *
    (Table1[Operating_Temperature]=Table14[[#This Row],[Temprature]])
)</f>
        <v>997.01890422670385</v>
      </c>
    </row>
    <row r="10" spans="1:12" x14ac:dyDescent="0.3">
      <c r="A10" s="4" t="s">
        <v>10</v>
      </c>
      <c r="B10" s="4">
        <v>91.204564829910936</v>
      </c>
      <c r="C10" s="4">
        <v>27.19029289759262</v>
      </c>
      <c r="D10" cm="1">
        <f t="array" ref="D10">_xlfn._xlws.FILTER(
    Table1[Cycle_Life],
    (Table1[Charging_Method]=Table14[[#This Row],[Charging Method]]) *
    (Table1[Capacity_Retention]=Table14[[#This Row],[Capacity]]) *
    (Table1[Operating_Temperature]=Table14[[#This Row],[Temprature]])
)</f>
        <v>1003.080355168225</v>
      </c>
    </row>
    <row r="12" spans="1:12" x14ac:dyDescent="0.3">
      <c r="A12" t="s">
        <v>35</v>
      </c>
      <c r="B12" t="s">
        <v>45</v>
      </c>
    </row>
    <row r="13" spans="1:12" ht="23.4" x14ac:dyDescent="0.3">
      <c r="A13" s="29">
        <v>85.211525174273731</v>
      </c>
      <c r="B13" s="29" t="str">
        <f>INDEX(Table1[Charging_Method],MATCH(Table19[[#This Row],[Capacity]],Table1[Capacity_Retention],0))</f>
        <v>Fast</v>
      </c>
      <c r="D13" s="19" t="s">
        <v>51</v>
      </c>
      <c r="L13" s="31" t="s">
        <v>52</v>
      </c>
    </row>
    <row r="14" spans="1:12" x14ac:dyDescent="0.3">
      <c r="A14" s="30">
        <v>88.166502249958739</v>
      </c>
      <c r="B14" s="29" t="str">
        <f>INDEX(Table1[Charging_Method],MATCH(Table19[[#This Row],[Capacity]],Table1[Capacity_Retention],0))</f>
        <v>Normal</v>
      </c>
      <c r="D14" t="s">
        <v>50</v>
      </c>
    </row>
    <row r="15" spans="1:12" x14ac:dyDescent="0.3">
      <c r="A15" s="30">
        <v>92.972913032484144</v>
      </c>
      <c r="B15" s="29" t="str">
        <f>INDEX(Table1[Charging_Method],MATCH(Table19[[#This Row],[Capacity]],Table1[Capacity_Retention],0))</f>
        <v>Slow</v>
      </c>
      <c r="D15" s="20" t="s">
        <v>46</v>
      </c>
      <c r="L15" t="s">
        <v>53</v>
      </c>
    </row>
    <row r="16" spans="1:12" x14ac:dyDescent="0.3">
      <c r="A16" s="29">
        <v>89.655390538835746</v>
      </c>
      <c r="B16" s="29" t="str">
        <f>INDEX(Table1[Charging_Method],MATCH(Table19[[#This Row],[Capacity]],Table1[Capacity_Retention],0))</f>
        <v>Slow</v>
      </c>
      <c r="D16" s="20" t="s">
        <v>47</v>
      </c>
      <c r="L16" t="s">
        <v>57</v>
      </c>
    </row>
    <row r="17" spans="1:12" x14ac:dyDescent="0.3">
      <c r="A17" s="30">
        <v>88.672245392318388</v>
      </c>
      <c r="B17" s="29" t="str">
        <f>INDEX(Table1[Charging_Method],MATCH(Table19[[#This Row],[Capacity]],Table1[Capacity_Retention],0))</f>
        <v>Fast</v>
      </c>
      <c r="D17" t="s">
        <v>48</v>
      </c>
      <c r="L17" t="s">
        <v>58</v>
      </c>
    </row>
    <row r="18" spans="1:12" x14ac:dyDescent="0.3">
      <c r="D18" s="20" t="s">
        <v>32</v>
      </c>
      <c r="L18" s="31"/>
    </row>
    <row r="19" spans="1:12" x14ac:dyDescent="0.3">
      <c r="D19" s="20" t="s">
        <v>49</v>
      </c>
      <c r="L19" s="31" t="s">
        <v>54</v>
      </c>
    </row>
    <row r="20" spans="1:12" x14ac:dyDescent="0.3">
      <c r="D20" s="20"/>
      <c r="L20" t="s">
        <v>55</v>
      </c>
    </row>
    <row r="21" spans="1:12" x14ac:dyDescent="0.3">
      <c r="L21" t="s">
        <v>56</v>
      </c>
    </row>
    <row r="22" spans="1:12" x14ac:dyDescent="0.3">
      <c r="L22" t="s">
        <v>59</v>
      </c>
    </row>
  </sheetData>
  <pageMargins left="0.7" right="0.7" top="0.75" bottom="0.75" header="0.3" footer="0.3"/>
  <ignoredErrors>
    <ignoredError sqref="D2:D10" calculatedColumn="1"/>
  </ignoredErrors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Main Data</vt:lpstr>
      <vt:lpstr>IF</vt:lpstr>
      <vt:lpstr>SUM &amp; AVERAGE</vt:lpstr>
      <vt:lpstr>X,VLOOK UP</vt:lpstr>
      <vt:lpstr>FILTER,INDEX &amp; MATCH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reudinta zesha</cp:lastModifiedBy>
  <dcterms:created xsi:type="dcterms:W3CDTF">2024-12-28T15:40:51Z</dcterms:created>
  <dcterms:modified xsi:type="dcterms:W3CDTF">2025-04-14T12:35:08Z</dcterms:modified>
</cp:coreProperties>
</file>